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7.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8.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3.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1ee40ab11b80cf8a/Desktop/Development/navairmetcaluncertaintytool-main/"/>
    </mc:Choice>
  </mc:AlternateContent>
  <xr:revisionPtr revIDLastSave="0" documentId="11_6ADA95D9E3D7DF1F1E53D5AFCA18AB4F262C0AB5" xr6:coauthVersionLast="47" xr6:coauthVersionMax="47" xr10:uidLastSave="{00000000-0000-0000-0000-000000000000}"/>
  <bookViews>
    <workbookView xWindow="-120" yWindow="-120" windowWidth="29040" windowHeight="15720" xr2:uid="{00000000-000D-0000-FFFF-FFFF00000000}"/>
  </bookViews>
  <sheets>
    <sheet name="Analysis Info" sheetId="61905" r:id="rId1"/>
    <sheet name="Notes" sheetId="62095" r:id="rId2"/>
    <sheet name="Document" sheetId="62096" r:id="rId3"/>
    <sheet name="EqTolerance" sheetId="62079" state="hidden" r:id="rId4"/>
    <sheet name="TolToolData" sheetId="61961" state="hidden" r:id="rId5"/>
    <sheet name="EqBudget" sheetId="61929" state="hidden" r:id="rId6"/>
    <sheet name="VarCorrelation" sheetId="61911" state="hidden" r:id="rId7"/>
    <sheet name="Repeatability" sheetId="61900" state="hidden" r:id="rId8"/>
    <sheet name="Tolerances" sheetId="61947" state="hidden" r:id="rId9"/>
    <sheet name="Risk Report" sheetId="61977" state="hidden" r:id="rId10"/>
    <sheet name="Risk With Assumed REOP" sheetId="62013" state="hidden" r:id="rId11"/>
    <sheet name="Risk With Measured REOP" sheetId="62014" state="hidden" r:id="rId12"/>
    <sheet name="TolLimit" sheetId="61945" state="hidden" r:id="rId13"/>
    <sheet name="Budget" sheetId="61990" state="hidden" r:id="rId14"/>
  </sheets>
  <functionGroups builtInGroupCount="19">
    <functionGroup name="Low Level I/O"/>
  </functionGroups>
  <definedNames>
    <definedName name="cl" localSheetId="6">#REF!</definedName>
    <definedName name="cw" localSheetId="6">#REF!</definedName>
    <definedName name="Delta" localSheetId="5">EqBudget!$K$7</definedName>
    <definedName name="Delta" localSheetId="3">EqTolerance!$K$7</definedName>
    <definedName name="Eq" localSheetId="5">EqBudget!$K$34</definedName>
    <definedName name="Eq" localSheetId="3">EqTolerance!$K$34</definedName>
    <definedName name="ErrorDist" localSheetId="13">Budget!$K$1:$K$14</definedName>
    <definedName name="ErrorDist" localSheetId="3">Budget!$K$1:$K$14</definedName>
    <definedName name="ErrorDist" localSheetId="7">Repeatability!#REF!</definedName>
    <definedName name="ErrorDist" localSheetId="6">#REF!</definedName>
    <definedName name="FloorUnits" localSheetId="8">Tolerances!$P$5:$P$9</definedName>
    <definedName name="FloorUnits" localSheetId="12">TolLimit!$P$5:$P$9</definedName>
    <definedName name="nu" localSheetId="6">#REF!</definedName>
    <definedName name="_xlnm.Print_Area" localSheetId="13">Budget!$B$1:$H$40</definedName>
    <definedName name="_xlnm.Print_Area" localSheetId="5">EqBudget!$B$1:$G$41</definedName>
    <definedName name="_xlnm.Print_Area" localSheetId="3">EqTolerance!$B$1:$H$41</definedName>
    <definedName name="_xlnm.Print_Area" localSheetId="7">Repeatability!$B$1:$E$39</definedName>
    <definedName name="_xlnm.Print_Area" localSheetId="9">'Risk Report'!$B$1:$H$51</definedName>
    <definedName name="_xlnm.Print_Area" localSheetId="10">'Risk With Assumed REOP'!$B$1:$H$66</definedName>
    <definedName name="_xlnm.Print_Area" localSheetId="11">'Risk With Measured REOP'!$B$1:$H$72</definedName>
    <definedName name="_xlnm.Print_Area" localSheetId="8">Tolerances!$B$1:$J$20</definedName>
    <definedName name="_xlnm.Print_Area" localSheetId="12">TolLimit!$B$1:$J$20</definedName>
    <definedName name="_xlnm.Print_Area" localSheetId="6">VarCorrelation!$B$1:$H$22</definedName>
    <definedName name="rho" localSheetId="6">#REF!</definedName>
    <definedName name="SpecDivider" localSheetId="8">Tolerances!$Q$3:$Q$9</definedName>
    <definedName name="SpecDivider" localSheetId="12">TolLimit!$Q$3:$Q$9</definedName>
    <definedName name="SpecUnits" localSheetId="7">#REF!</definedName>
    <definedName name="SpecUnits" localSheetId="8">Tolerances!$P$3:$P$9</definedName>
    <definedName name="SpecUnits" localSheetId="12">TolLimit!$P$3:$P$9</definedName>
    <definedName name="SpecUnits" localSheetId="6">#REF!</definedName>
    <definedName name="u" localSheetId="6">#REF!</definedName>
    <definedName name="uc" localSheetId="6">#REF!</definedName>
    <definedName name="UncLookup" localSheetId="1">Budget!$K$1:$L$13</definedName>
    <definedName name="UncLookup">Budget!$K$1:$L$13</definedName>
    <definedName name="UncMult" localSheetId="13">Budget!$L$1:$L$14</definedName>
    <definedName name="UncMult" localSheetId="7">Repeatability!#REF!</definedName>
    <definedName name="UncMult" localSheetId="6">#REF!</definedName>
    <definedName name="UncType" localSheetId="13">Budget!$N$2:$N$4</definedName>
    <definedName name="UncType" localSheetId="7">Repeatability!#REF!</definedName>
    <definedName name="UncType" localSheetId="6">#REF!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 i="62079" l="1"/>
  <c r="D34" i="61929"/>
  <c r="E16" i="62014"/>
  <c r="E16" i="62013"/>
  <c r="B20" i="61945"/>
  <c r="B8" i="61947"/>
  <c r="B16" i="61945"/>
  <c r="C12" i="61945"/>
  <c r="B8" i="61945"/>
  <c r="E17" i="62013"/>
  <c r="B20" i="61947"/>
  <c r="B16" i="61947"/>
  <c r="E17" i="62014"/>
  <c r="C12" i="61947"/>
  <c r="C1" i="62096" l="1"/>
  <c r="E22" i="62013"/>
  <c r="D40" i="62079" l="1"/>
  <c r="AZ31" i="62079"/>
  <c r="AE30" i="62079"/>
  <c r="K30" i="62079"/>
  <c r="X30" i="62079" s="1"/>
  <c r="G30" i="62079"/>
  <c r="Z13" i="62079" s="1"/>
  <c r="AE29" i="62079"/>
  <c r="K29" i="62079"/>
  <c r="W29" i="62079" s="1"/>
  <c r="G29" i="62079"/>
  <c r="AZ15" i="62079" s="1"/>
  <c r="AE28" i="62079"/>
  <c r="K28" i="62079"/>
  <c r="W28" i="62079" s="1"/>
  <c r="G28" i="62079"/>
  <c r="AZ14" i="62079" s="1"/>
  <c r="AE27" i="62079"/>
  <c r="K27" i="62079"/>
  <c r="W27" i="62079" s="1"/>
  <c r="G27" i="62079"/>
  <c r="W13" i="62079" s="1"/>
  <c r="AE26" i="62079"/>
  <c r="K26" i="62079"/>
  <c r="W26" i="62079" s="1"/>
  <c r="G26" i="62079"/>
  <c r="AZ12" i="62079" s="1"/>
  <c r="AE25" i="62079"/>
  <c r="K25" i="62079"/>
  <c r="W25" i="62079" s="1"/>
  <c r="G25" i="62079"/>
  <c r="U13" i="62079" s="1"/>
  <c r="AE24" i="62079"/>
  <c r="K24" i="62079"/>
  <c r="Z24" i="62079" s="1"/>
  <c r="G24" i="62079"/>
  <c r="T13" i="62079" s="1"/>
  <c r="AE23" i="62079"/>
  <c r="K23" i="62079"/>
  <c r="W23" i="62079" s="1"/>
  <c r="G23" i="62079"/>
  <c r="S13" i="62079" s="1"/>
  <c r="AE22" i="62079"/>
  <c r="K22" i="62079"/>
  <c r="W22" i="62079" s="1"/>
  <c r="G22" i="62079"/>
  <c r="R13" i="62079" s="1"/>
  <c r="AE21" i="62079"/>
  <c r="K21" i="62079"/>
  <c r="W21" i="62079" s="1"/>
  <c r="G21" i="62079"/>
  <c r="AZ7" i="62079" s="1"/>
  <c r="AE20" i="62079"/>
  <c r="K20" i="62079"/>
  <c r="Z20" i="62079" s="1"/>
  <c r="G20" i="62079"/>
  <c r="P13" i="62079" s="1"/>
  <c r="AE19" i="62079"/>
  <c r="K19" i="62079"/>
  <c r="W19" i="62079" s="1"/>
  <c r="G19" i="62079"/>
  <c r="O13" i="62079" s="1"/>
  <c r="AE18" i="62079"/>
  <c r="K18" i="62079"/>
  <c r="W18" i="62079" s="1"/>
  <c r="G18" i="62079"/>
  <c r="N13" i="62079" s="1"/>
  <c r="AE17" i="62079"/>
  <c r="K17" i="62079"/>
  <c r="W17" i="62079" s="1"/>
  <c r="AZ16" i="62079"/>
  <c r="AE16" i="62079"/>
  <c r="K16" i="62079"/>
  <c r="Z12" i="62079"/>
  <c r="Y12" i="62079"/>
  <c r="X12" i="62079"/>
  <c r="W12" i="62079"/>
  <c r="V12" i="62079"/>
  <c r="U12" i="62079"/>
  <c r="T12" i="62079"/>
  <c r="S12" i="62079"/>
  <c r="R12" i="62079"/>
  <c r="Q12" i="62079"/>
  <c r="P12" i="62079"/>
  <c r="O12" i="62079"/>
  <c r="N12" i="62079"/>
  <c r="M12" i="62079"/>
  <c r="L12" i="62079"/>
  <c r="Z11" i="62079"/>
  <c r="Y11" i="62079"/>
  <c r="X11" i="62079"/>
  <c r="W11" i="62079"/>
  <c r="V11" i="62079"/>
  <c r="U11" i="62079"/>
  <c r="T11" i="62079"/>
  <c r="S11" i="62079"/>
  <c r="R11" i="62079"/>
  <c r="Q11" i="62079"/>
  <c r="P11" i="62079"/>
  <c r="O11" i="62079"/>
  <c r="N11" i="62079"/>
  <c r="M11" i="62079"/>
  <c r="L11" i="62079"/>
  <c r="K34" i="62079" l="1"/>
  <c r="T17" i="62079"/>
  <c r="P17" i="62079"/>
  <c r="W16" i="62079"/>
  <c r="W34" i="62079" s="1"/>
  <c r="Y30" i="62079"/>
  <c r="T26" i="62079"/>
  <c r="L28" i="62079"/>
  <c r="N26" i="62079"/>
  <c r="AZ13" i="62079"/>
  <c r="Y26" i="62079"/>
  <c r="Q30" i="62079"/>
  <c r="X28" i="62079"/>
  <c r="M28" i="62079"/>
  <c r="V28" i="62079"/>
  <c r="Q13" i="62079"/>
  <c r="P21" i="62079"/>
  <c r="L21" i="62079"/>
  <c r="L17" i="62079"/>
  <c r="AZ5" i="62079"/>
  <c r="L16" i="62079"/>
  <c r="L29" i="62079"/>
  <c r="AZ9" i="62079"/>
  <c r="P16" i="62079"/>
  <c r="P34" i="62079" s="1"/>
  <c r="X18" i="62079"/>
  <c r="T21" i="62079"/>
  <c r="P22" i="62079"/>
  <c r="P25" i="62079"/>
  <c r="Q28" i="62079"/>
  <c r="P29" i="62079"/>
  <c r="P18" i="62079"/>
  <c r="L25" i="62079"/>
  <c r="T16" i="62079"/>
  <c r="X22" i="62079"/>
  <c r="T25" i="62079"/>
  <c r="R28" i="62079"/>
  <c r="T29" i="62079"/>
  <c r="X16" i="62079"/>
  <c r="X17" i="62079"/>
  <c r="L18" i="62079"/>
  <c r="T18" i="62079"/>
  <c r="M19" i="62079"/>
  <c r="R19" i="62079"/>
  <c r="X19" i="62079"/>
  <c r="X21" i="62079"/>
  <c r="L22" i="62079"/>
  <c r="T22" i="62079"/>
  <c r="M23" i="62079"/>
  <c r="R23" i="62079"/>
  <c r="X23" i="62079"/>
  <c r="X25" i="62079"/>
  <c r="L26" i="62079"/>
  <c r="Q26" i="62079"/>
  <c r="V26" i="62079"/>
  <c r="P27" i="62079"/>
  <c r="N28" i="62079"/>
  <c r="T28" i="62079"/>
  <c r="Y28" i="62079"/>
  <c r="X29" i="62079"/>
  <c r="M30" i="62079"/>
  <c r="U30" i="62079"/>
  <c r="Q18" i="62079"/>
  <c r="Y18" i="62079"/>
  <c r="L19" i="62079"/>
  <c r="Q19" i="62079"/>
  <c r="V19" i="62079"/>
  <c r="Q22" i="62079"/>
  <c r="Y22" i="62079"/>
  <c r="L23" i="62079"/>
  <c r="Q23" i="62079"/>
  <c r="V23" i="62079"/>
  <c r="P26" i="62079"/>
  <c r="U26" i="62079"/>
  <c r="Z26" i="62079"/>
  <c r="L27" i="62079"/>
  <c r="R30" i="62079"/>
  <c r="Z30" i="62079"/>
  <c r="M18" i="62079"/>
  <c r="U18" i="62079"/>
  <c r="N19" i="62079"/>
  <c r="T19" i="62079"/>
  <c r="Y19" i="62079"/>
  <c r="M22" i="62079"/>
  <c r="U22" i="62079"/>
  <c r="N23" i="62079"/>
  <c r="T23" i="62079"/>
  <c r="Y23" i="62079"/>
  <c r="M26" i="62079"/>
  <c r="R26" i="62079"/>
  <c r="X26" i="62079"/>
  <c r="T27" i="62079"/>
  <c r="P28" i="62079"/>
  <c r="U28" i="62079"/>
  <c r="Z28" i="62079"/>
  <c r="N30" i="62079"/>
  <c r="V30" i="62079"/>
  <c r="P19" i="62079"/>
  <c r="U19" i="62079"/>
  <c r="Z19" i="62079"/>
  <c r="P23" i="62079"/>
  <c r="U23" i="62079"/>
  <c r="Z23" i="62079"/>
  <c r="X27" i="62079"/>
  <c r="AZ8" i="62079"/>
  <c r="AZ6" i="62079"/>
  <c r="AZ10" i="62079"/>
  <c r="AZ11" i="62079"/>
  <c r="Y13" i="62079"/>
  <c r="O20" i="62079"/>
  <c r="W20" i="62079"/>
  <c r="S24" i="62079"/>
  <c r="M17" i="62079"/>
  <c r="Q17" i="62079"/>
  <c r="U17" i="62079"/>
  <c r="Y17" i="62079"/>
  <c r="N18" i="62079"/>
  <c r="R18" i="62079"/>
  <c r="V18" i="62079"/>
  <c r="Z18" i="62079"/>
  <c r="O19" i="62079"/>
  <c r="S19" i="62079"/>
  <c r="L20" i="62079"/>
  <c r="P20" i="62079"/>
  <c r="T20" i="62079"/>
  <c r="X20" i="62079"/>
  <c r="M21" i="62079"/>
  <c r="Q21" i="62079"/>
  <c r="U21" i="62079"/>
  <c r="Y21" i="62079"/>
  <c r="N22" i="62079"/>
  <c r="R22" i="62079"/>
  <c r="V22" i="62079"/>
  <c r="Z22" i="62079"/>
  <c r="O23" i="62079"/>
  <c r="S23" i="62079"/>
  <c r="L24" i="62079"/>
  <c r="P24" i="62079"/>
  <c r="T24" i="62079"/>
  <c r="X24" i="62079"/>
  <c r="M25" i="62079"/>
  <c r="Q25" i="62079"/>
  <c r="U25" i="62079"/>
  <c r="Y25" i="62079"/>
  <c r="O26" i="62079"/>
  <c r="S26" i="62079"/>
  <c r="M27" i="62079"/>
  <c r="Q27" i="62079"/>
  <c r="U27" i="62079"/>
  <c r="Y27" i="62079"/>
  <c r="O28" i="62079"/>
  <c r="S28" i="62079"/>
  <c r="M29" i="62079"/>
  <c r="Q29" i="62079"/>
  <c r="U29" i="62079"/>
  <c r="Y29" i="62079"/>
  <c r="O30" i="62079"/>
  <c r="S30" i="62079"/>
  <c r="W30" i="62079"/>
  <c r="V13" i="62079"/>
  <c r="M16" i="62079"/>
  <c r="Q16" i="62079"/>
  <c r="Q34" i="62079" s="1"/>
  <c r="U16" i="62079"/>
  <c r="U34" i="62079" s="1"/>
  <c r="Y16" i="62079"/>
  <c r="Y34" i="62079" s="1"/>
  <c r="N16" i="62079"/>
  <c r="R16" i="62079"/>
  <c r="V16" i="62079"/>
  <c r="Z16" i="62079"/>
  <c r="N17" i="62079"/>
  <c r="R17" i="62079"/>
  <c r="V17" i="62079"/>
  <c r="Z17" i="62079"/>
  <c r="O18" i="62079"/>
  <c r="S18" i="62079"/>
  <c r="M20" i="62079"/>
  <c r="Q20" i="62079"/>
  <c r="U20" i="62079"/>
  <c r="Y20" i="62079"/>
  <c r="N21" i="62079"/>
  <c r="R21" i="62079"/>
  <c r="V21" i="62079"/>
  <c r="Z21" i="62079"/>
  <c r="O22" i="62079"/>
  <c r="S22" i="62079"/>
  <c r="M24" i="62079"/>
  <c r="Q24" i="62079"/>
  <c r="U24" i="62079"/>
  <c r="Y24" i="62079"/>
  <c r="N25" i="62079"/>
  <c r="R25" i="62079"/>
  <c r="V25" i="62079"/>
  <c r="Z25" i="62079"/>
  <c r="N27" i="62079"/>
  <c r="R27" i="62079"/>
  <c r="V27" i="62079"/>
  <c r="Z27" i="62079"/>
  <c r="N29" i="62079"/>
  <c r="R29" i="62079"/>
  <c r="V29" i="62079"/>
  <c r="Z29" i="62079"/>
  <c r="L30" i="62079"/>
  <c r="P30" i="62079"/>
  <c r="T30" i="62079"/>
  <c r="S20" i="62079"/>
  <c r="O24" i="62079"/>
  <c r="W24" i="62079"/>
  <c r="X13" i="62079"/>
  <c r="O16" i="62079"/>
  <c r="S16" i="62079"/>
  <c r="O17" i="62079"/>
  <c r="S17" i="62079"/>
  <c r="N20" i="62079"/>
  <c r="R20" i="62079"/>
  <c r="V20" i="62079"/>
  <c r="O21" i="62079"/>
  <c r="S21" i="62079"/>
  <c r="N24" i="62079"/>
  <c r="R24" i="62079"/>
  <c r="V24" i="62079"/>
  <c r="O25" i="62079"/>
  <c r="S25" i="62079"/>
  <c r="O27" i="62079"/>
  <c r="S27" i="62079"/>
  <c r="O29" i="62079"/>
  <c r="S29" i="62079"/>
  <c r="M34" i="62079" l="1"/>
  <c r="M35" i="62079" s="1"/>
  <c r="H17" i="62079" s="1"/>
  <c r="T34" i="62079"/>
  <c r="T35" i="62079" s="1"/>
  <c r="T36" i="62079" s="1"/>
  <c r="T37" i="62079" s="1"/>
  <c r="L34" i="62079"/>
  <c r="L35" i="62079" s="1"/>
  <c r="H16" i="62079" s="1"/>
  <c r="S34" i="62079"/>
  <c r="R34" i="62079"/>
  <c r="N34" i="62079"/>
  <c r="O34" i="62079"/>
  <c r="O35" i="62079" s="1"/>
  <c r="O36" i="62079" s="1"/>
  <c r="O37" i="62079" s="1"/>
  <c r="Z34" i="62079"/>
  <c r="V34" i="62079"/>
  <c r="X34" i="62079"/>
  <c r="X35" i="62079" s="1"/>
  <c r="X36" i="62079" s="1"/>
  <c r="X37" i="62079" s="1"/>
  <c r="P35" i="62079"/>
  <c r="H20" i="62079" s="1"/>
  <c r="U35" i="62079"/>
  <c r="U36" i="62079" s="1"/>
  <c r="U37" i="62079" s="1"/>
  <c r="Q35" i="62079"/>
  <c r="H21" i="62079" s="1"/>
  <c r="Y35" i="62079"/>
  <c r="Y36" i="62079" s="1"/>
  <c r="Y37" i="62079" s="1"/>
  <c r="W35" i="62079"/>
  <c r="W36" i="62079" s="1"/>
  <c r="W37" i="62079" s="1"/>
  <c r="AY31" i="61929"/>
  <c r="V35" i="62079" l="1"/>
  <c r="V36" i="62079" s="1"/>
  <c r="V37" i="62079" s="1"/>
  <c r="R35" i="62079"/>
  <c r="R36" i="62079" s="1"/>
  <c r="R37" i="62079" s="1"/>
  <c r="S35" i="62079"/>
  <c r="H23" i="62079" s="1"/>
  <c r="N35" i="62079"/>
  <c r="Z35" i="62079"/>
  <c r="Z36" i="62079" s="1"/>
  <c r="Z37" i="62079" s="1"/>
  <c r="H25" i="62079"/>
  <c r="Q36" i="62079"/>
  <c r="Q37" i="62079" s="1"/>
  <c r="P36" i="62079"/>
  <c r="P37" i="62079" s="1"/>
  <c r="H19" i="62079"/>
  <c r="H24" i="62079"/>
  <c r="AZ4" i="62079"/>
  <c r="H31" i="61990"/>
  <c r="I31" i="61990" s="1"/>
  <c r="H30" i="61990"/>
  <c r="I30" i="61990" s="1"/>
  <c r="H29" i="61990"/>
  <c r="I29" i="61990" s="1"/>
  <c r="H28" i="61990"/>
  <c r="I28" i="61990" s="1"/>
  <c r="H27" i="61990"/>
  <c r="T13" i="61990" s="1"/>
  <c r="H26" i="61990"/>
  <c r="I26" i="61990" s="1"/>
  <c r="H25" i="61990"/>
  <c r="I25" i="61990" s="1"/>
  <c r="H24" i="61990"/>
  <c r="I24" i="61990" s="1"/>
  <c r="H23" i="61990"/>
  <c r="T9" i="61990" s="1"/>
  <c r="H22" i="61990"/>
  <c r="I22" i="61990" s="1"/>
  <c r="H21" i="61990"/>
  <c r="I21" i="61990" s="1"/>
  <c r="H20" i="61990"/>
  <c r="I20" i="61990" s="1"/>
  <c r="H18" i="61990"/>
  <c r="I18" i="61990" s="1"/>
  <c r="L5" i="61990"/>
  <c r="L3" i="61990"/>
  <c r="L2" i="61990"/>
  <c r="S36" i="62079" l="1"/>
  <c r="S37" i="62079" s="1"/>
  <c r="H22" i="62079"/>
  <c r="N36" i="62079"/>
  <c r="N37" i="62079" s="1"/>
  <c r="H18" i="62079"/>
  <c r="H19" i="61990"/>
  <c r="I19" i="61990" s="1"/>
  <c r="G16" i="62079"/>
  <c r="L13" i="62079" s="1"/>
  <c r="L36" i="62079" s="1"/>
  <c r="L37" i="62079" s="1"/>
  <c r="G17" i="62079"/>
  <c r="H17" i="61990"/>
  <c r="T15" i="61990"/>
  <c r="T11" i="61990"/>
  <c r="T12" i="61990"/>
  <c r="T16" i="61990"/>
  <c r="T17" i="61990"/>
  <c r="I23" i="61990"/>
  <c r="I27" i="61990"/>
  <c r="T10" i="61990"/>
  <c r="T14" i="61990"/>
  <c r="X7" i="62096"/>
  <c r="Y31" i="62096"/>
  <c r="AB20" i="62096"/>
  <c r="AA6" i="62096"/>
  <c r="I4" i="61947"/>
  <c r="Q17" i="62096"/>
  <c r="Q30" i="62096"/>
  <c r="Q21" i="62096"/>
  <c r="Y14" i="62096"/>
  <c r="R13" i="62096"/>
  <c r="J4" i="61947"/>
  <c r="AB16" i="62096"/>
  <c r="X24" i="62096"/>
  <c r="Y19" i="62096"/>
  <c r="AA31" i="62096"/>
  <c r="X19" i="62096"/>
  <c r="AA14" i="62096"/>
  <c r="Y22" i="62096"/>
  <c r="AA7" i="62096"/>
  <c r="R10" i="62096"/>
  <c r="AA15" i="62096"/>
  <c r="E50" i="62014"/>
  <c r="R21" i="62096"/>
  <c r="R12" i="62096"/>
  <c r="X16" i="62096"/>
  <c r="X23" i="62096"/>
  <c r="Q26" i="62096"/>
  <c r="AB22" i="62096"/>
  <c r="X9" i="62096"/>
  <c r="R29" i="62096"/>
  <c r="X27" i="62096"/>
  <c r="AA21" i="62096"/>
  <c r="Y23" i="62096"/>
  <c r="Y26" i="62096"/>
  <c r="Y8" i="62096"/>
  <c r="Q9" i="62096"/>
  <c r="R28" i="62096"/>
  <c r="X28" i="62096"/>
  <c r="X15" i="62096"/>
  <c r="AA28" i="62096"/>
  <c r="AB6" i="62096"/>
  <c r="AB28" i="62096"/>
  <c r="Y28" i="62096"/>
  <c r="Q8" i="62096"/>
  <c r="Y6" i="62096"/>
  <c r="Y16" i="62096"/>
  <c r="Y11" i="62096"/>
  <c r="Y10" i="62096"/>
  <c r="AB24" i="62096"/>
  <c r="Q11" i="62096"/>
  <c r="AA23" i="62096"/>
  <c r="AF13" i="62096"/>
  <c r="R8" i="62096"/>
  <c r="Q24" i="62096"/>
  <c r="Y18" i="62096"/>
  <c r="AB15" i="62096"/>
  <c r="AC15" i="62096" s="1"/>
  <c r="AA32" i="62096"/>
  <c r="X18" i="62096"/>
  <c r="Q14" i="62096"/>
  <c r="Y9" i="62096"/>
  <c r="R11" i="62096"/>
  <c r="Q6" i="62096"/>
  <c r="R15" i="62096"/>
  <c r="AA24" i="62096"/>
  <c r="D36" i="62079"/>
  <c r="R25" i="62096"/>
  <c r="X13" i="62096"/>
  <c r="Q22" i="62096"/>
  <c r="Q32" i="62096"/>
  <c r="AB31" i="62096"/>
  <c r="Z31" i="62096" s="1"/>
  <c r="R16" i="62096"/>
  <c r="AG16" i="62096" s="1"/>
  <c r="AA8" i="62096"/>
  <c r="AF21" i="62096"/>
  <c r="AA27" i="62096"/>
  <c r="Q27" i="62096"/>
  <c r="Y12" i="62096"/>
  <c r="X29" i="62096"/>
  <c r="R32" i="62096"/>
  <c r="AG32" i="62096" s="1"/>
  <c r="AB9" i="62096"/>
  <c r="AA18" i="62096"/>
  <c r="AA12" i="62096"/>
  <c r="R7" i="62096"/>
  <c r="AF7" i="62096" s="1"/>
  <c r="Y30" i="62096"/>
  <c r="AB30" i="62096"/>
  <c r="AF29" i="62096"/>
  <c r="AB21" i="62096"/>
  <c r="AD28" i="62096"/>
  <c r="Y25" i="62096"/>
  <c r="Y27" i="62096"/>
  <c r="R30" i="62096"/>
  <c r="Q28" i="62096"/>
  <c r="AB8" i="62096"/>
  <c r="AG8" i="62096"/>
  <c r="AE8" i="62096"/>
  <c r="Q18" i="62096"/>
  <c r="Z28" i="62096"/>
  <c r="AE28" i="62096"/>
  <c r="AF10" i="62096"/>
  <c r="AA26" i="62096"/>
  <c r="Q15" i="62096"/>
  <c r="AA20" i="62096"/>
  <c r="AD24" i="62096"/>
  <c r="AA17" i="62096"/>
  <c r="R9" i="62096"/>
  <c r="AF9" i="62096" s="1"/>
  <c r="Q13" i="62096"/>
  <c r="R14" i="62096"/>
  <c r="AF14" i="62096" s="1"/>
  <c r="Q29" i="62096"/>
  <c r="X26" i="62096"/>
  <c r="X8" i="62096"/>
  <c r="AB14" i="62096"/>
  <c r="AD15" i="62096"/>
  <c r="Y24" i="62096"/>
  <c r="AB29" i="62096"/>
  <c r="AA19" i="62096"/>
  <c r="X12" i="62096"/>
  <c r="AA9" i="62096"/>
  <c r="Z21" i="62096"/>
  <c r="AA10" i="62096"/>
  <c r="X20" i="62096"/>
  <c r="Q19" i="62096"/>
  <c r="X21" i="62096"/>
  <c r="Q16" i="62096"/>
  <c r="AB7" i="62096"/>
  <c r="AB26" i="62096"/>
  <c r="AE20" i="62096"/>
  <c r="AE24" i="62096"/>
  <c r="AB12" i="62096"/>
  <c r="R6" i="62096"/>
  <c r="AB10" i="62096"/>
  <c r="R17" i="62096"/>
  <c r="AG17" i="62096" s="1"/>
  <c r="Y29" i="62096"/>
  <c r="Q10" i="62096"/>
  <c r="AE10" i="62096"/>
  <c r="AC6" i="62096"/>
  <c r="X31" i="62096"/>
  <c r="Q12" i="62096"/>
  <c r="AD7" i="62096"/>
  <c r="AA22" i="62096"/>
  <c r="R18" i="62096"/>
  <c r="AF18" i="62096" s="1"/>
  <c r="AB13" i="62096"/>
  <c r="Q25" i="62096"/>
  <c r="AF32" i="62096"/>
  <c r="AA30" i="62096"/>
  <c r="Z30" i="62096" s="1"/>
  <c r="AA29" i="62096"/>
  <c r="AC29" i="62096" s="1"/>
  <c r="AC12" i="62096"/>
  <c r="X25" i="62096"/>
  <c r="AB32" i="62096"/>
  <c r="R23" i="62096"/>
  <c r="AG23" i="62096" s="1"/>
  <c r="R19" i="62096"/>
  <c r="AB25" i="62096"/>
  <c r="Y20" i="62096"/>
  <c r="Z24" i="62096"/>
  <c r="X14" i="62096"/>
  <c r="X17" i="62096"/>
  <c r="AB17" i="62096"/>
  <c r="AE7" i="62096"/>
  <c r="R26" i="62096"/>
  <c r="AF26" i="62096" s="1"/>
  <c r="AC9" i="62096"/>
  <c r="Y15" i="62096"/>
  <c r="AA25" i="62096"/>
  <c r="AA13" i="62096"/>
  <c r="AB11" i="62096"/>
  <c r="R20" i="62096"/>
  <c r="AC10" i="62096"/>
  <c r="Y21" i="62096"/>
  <c r="AE14" i="62096"/>
  <c r="AG12" i="62096"/>
  <c r="AB23" i="62096"/>
  <c r="R24" i="62096"/>
  <c r="AF24" i="62096" s="1"/>
  <c r="X11" i="62096"/>
  <c r="Q7" i="62096"/>
  <c r="AG14" i="62096"/>
  <c r="AE23" i="62096"/>
  <c r="AG10" i="62096"/>
  <c r="AC30" i="62096"/>
  <c r="AC28" i="62096"/>
  <c r="Z17" i="62096"/>
  <c r="X22" i="62096"/>
  <c r="X32" i="62096"/>
  <c r="R22" i="62096"/>
  <c r="X6" i="62096"/>
  <c r="AF30" i="62096"/>
  <c r="AB18" i="62096"/>
  <c r="AG11" i="62096"/>
  <c r="Y7" i="62096"/>
  <c r="Y32" i="62096"/>
  <c r="AE30" i="62096"/>
  <c r="AB27" i="62096"/>
  <c r="AG15" i="62096"/>
  <c r="AF12" i="62096"/>
  <c r="AA16" i="62096"/>
  <c r="AF11" i="62096"/>
  <c r="AF20" i="62096"/>
  <c r="Z13" i="62096"/>
  <c r="Z26" i="62096"/>
  <c r="AB19" i="62096"/>
  <c r="AG18" i="62096"/>
  <c r="Z15" i="62096"/>
  <c r="R27" i="62096"/>
  <c r="AG27" i="62096" s="1"/>
  <c r="AD17" i="62096"/>
  <c r="X30" i="62096"/>
  <c r="R31" i="62096"/>
  <c r="AG31" i="62096" s="1"/>
  <c r="AG24" i="62096"/>
  <c r="Q20" i="62096"/>
  <c r="Y13" i="62096"/>
  <c r="Q31" i="62096"/>
  <c r="Q23" i="62096"/>
  <c r="Y17" i="62096"/>
  <c r="X10" i="62096"/>
  <c r="AE13" i="62096"/>
  <c r="AA11" i="62096"/>
  <c r="AD11" i="62096" s="1"/>
  <c r="AD31" i="62096"/>
  <c r="AF28" i="62096"/>
  <c r="AD6" i="62096"/>
  <c r="AE6" i="62096"/>
  <c r="AD9" i="62096"/>
  <c r="AE9" i="62096"/>
  <c r="Z9" i="62096"/>
  <c r="AC21" i="62096"/>
  <c r="AE21" i="62096"/>
  <c r="AD21" i="62096"/>
  <c r="AD8" i="62096"/>
  <c r="Z8" i="62096"/>
  <c r="AC8" i="62096"/>
  <c r="Z20" i="62096"/>
  <c r="AC20" i="62096"/>
  <c r="AC14" i="62096"/>
  <c r="AD29" i="62096"/>
  <c r="Z29" i="62096"/>
  <c r="Z7" i="62096"/>
  <c r="AC7" i="62096"/>
  <c r="AC26" i="62096"/>
  <c r="AE26" i="62096"/>
  <c r="Z12" i="62096"/>
  <c r="AE12" i="62096"/>
  <c r="AG6" i="62096"/>
  <c r="Z10" i="62096"/>
  <c r="AD10" i="62096"/>
  <c r="AC22" i="62096"/>
  <c r="AE22" i="62096"/>
  <c r="AC13" i="62096"/>
  <c r="AD13" i="62096"/>
  <c r="AC32" i="62096"/>
  <c r="AE32" i="62096"/>
  <c r="AD32" i="62096"/>
  <c r="AF19" i="62096"/>
  <c r="Z25" i="62096"/>
  <c r="AE25" i="62096"/>
  <c r="AC17" i="62096"/>
  <c r="AE17" i="62096"/>
  <c r="AE11" i="62096"/>
  <c r="AC11" i="62096"/>
  <c r="Z11" i="62096"/>
  <c r="AD23" i="62096"/>
  <c r="AF22" i="62096"/>
  <c r="Z18" i="62096"/>
  <c r="AD18" i="62096"/>
  <c r="AE27" i="62096"/>
  <c r="Z27" i="62096"/>
  <c r="AD16" i="62096"/>
  <c r="Z16" i="62096"/>
  <c r="AC16" i="62096"/>
  <c r="AE16" i="62096"/>
  <c r="Z19" i="62096"/>
  <c r="AC19" i="62096"/>
  <c r="G33" i="61990" l="1"/>
  <c r="D35" i="61990" s="1"/>
  <c r="M13" i="62079"/>
  <c r="M36" i="62079" s="1"/>
  <c r="M37" i="62079" s="1"/>
  <c r="I17" i="61990"/>
  <c r="I33" i="61990" s="1"/>
  <c r="T8" i="61990"/>
  <c r="AC18" i="62096"/>
  <c r="AG21" i="62096"/>
  <c r="AG7" i="62096"/>
  <c r="AF8" i="62096"/>
  <c r="Z23" i="62096"/>
  <c r="AG19" i="62096"/>
  <c r="AE19" i="62096"/>
  <c r="AD20" i="62096"/>
  <c r="AD14" i="62096"/>
  <c r="AF17" i="62096"/>
  <c r="AD12" i="62096"/>
  <c r="AD26" i="62096"/>
  <c r="AF23" i="62096"/>
  <c r="AD30" i="62096"/>
  <c r="AF15" i="62096"/>
  <c r="AG28" i="62096"/>
  <c r="AD19" i="62096"/>
  <c r="AG22" i="62096"/>
  <c r="AG13" i="62096"/>
  <c r="Z6" i="62096"/>
  <c r="AF27" i="62096"/>
  <c r="AC24" i="62096"/>
  <c r="AE31" i="62096"/>
  <c r="AG25" i="62096"/>
  <c r="AF6" i="62096"/>
  <c r="AC31" i="62096"/>
  <c r="AG9" i="62096"/>
  <c r="AC23" i="62096"/>
  <c r="AE29" i="62096"/>
  <c r="AD27" i="62096"/>
  <c r="AF16" i="62096"/>
  <c r="AG26" i="62096"/>
  <c r="Z14" i="62096"/>
  <c r="AE15" i="62096"/>
  <c r="AF31" i="62096"/>
  <c r="AG20" i="62096"/>
  <c r="Z22" i="62096"/>
  <c r="AC25" i="62096"/>
  <c r="AD25" i="62096"/>
  <c r="AC27" i="62096"/>
  <c r="AD22" i="62096"/>
  <c r="AG30" i="62096"/>
  <c r="AF25" i="62096"/>
  <c r="Z32" i="62096"/>
  <c r="AG29" i="62096"/>
  <c r="AE18" i="62096"/>
  <c r="T7" i="61990" l="1"/>
  <c r="D41" i="62079"/>
  <c r="G34" i="62079" s="1"/>
  <c r="D38" i="61990"/>
  <c r="D39" i="61990" s="1"/>
  <c r="D40" i="61990" s="1"/>
  <c r="T5" i="61990"/>
  <c r="T4" i="61990"/>
  <c r="T3" i="61990"/>
  <c r="T6" i="61990"/>
  <c r="J20" i="61945"/>
  <c r="J20" i="61947"/>
  <c r="H20" i="61947"/>
  <c r="AD30" i="61929" l="1"/>
  <c r="K30" i="61929"/>
  <c r="AD29" i="61929"/>
  <c r="K29" i="61929"/>
  <c r="W29" i="61929" s="1"/>
  <c r="AD28" i="61929"/>
  <c r="K28" i="61929"/>
  <c r="Y28" i="61929" s="1"/>
  <c r="AD27" i="61929"/>
  <c r="K27" i="61929"/>
  <c r="Y27" i="61929" s="1"/>
  <c r="AD26" i="61929"/>
  <c r="K26" i="61929"/>
  <c r="Y26" i="61929" s="1"/>
  <c r="AD25" i="61929"/>
  <c r="K25" i="61929"/>
  <c r="W25" i="61929" s="1"/>
  <c r="AD24" i="61929"/>
  <c r="K24" i="61929"/>
  <c r="Y24" i="61929" s="1"/>
  <c r="AD23" i="61929"/>
  <c r="K23" i="61929"/>
  <c r="W23" i="61929" s="1"/>
  <c r="AD22" i="61929"/>
  <c r="K22" i="61929"/>
  <c r="Y22" i="61929" s="1"/>
  <c r="AD21" i="61929"/>
  <c r="K21" i="61929"/>
  <c r="W21" i="61929" s="1"/>
  <c r="AD20" i="61929"/>
  <c r="K20" i="61929"/>
  <c r="Y20" i="61929" s="1"/>
  <c r="AD19" i="61929"/>
  <c r="K19" i="61929"/>
  <c r="AD18" i="61929"/>
  <c r="K18" i="61929"/>
  <c r="AD17" i="61929"/>
  <c r="K17" i="61929"/>
  <c r="AY16" i="61929"/>
  <c r="AD16" i="61929"/>
  <c r="K16" i="61929"/>
  <c r="AY15" i="61929"/>
  <c r="AY14" i="61929"/>
  <c r="AY13" i="61929"/>
  <c r="Z13" i="61929"/>
  <c r="Y13" i="61929"/>
  <c r="X13" i="61929"/>
  <c r="W13" i="61929"/>
  <c r="V13" i="61929"/>
  <c r="U13" i="61929"/>
  <c r="T13" i="61929"/>
  <c r="S13" i="61929"/>
  <c r="R13" i="61929"/>
  <c r="Q13" i="61929"/>
  <c r="P13" i="61929"/>
  <c r="O13" i="61929"/>
  <c r="N13" i="61929"/>
  <c r="M13" i="61929"/>
  <c r="L13" i="61929"/>
  <c r="AY12" i="61929"/>
  <c r="Z12" i="61929"/>
  <c r="Y12" i="61929"/>
  <c r="X12" i="61929"/>
  <c r="W12" i="61929"/>
  <c r="V12" i="61929"/>
  <c r="U12" i="61929"/>
  <c r="T12" i="61929"/>
  <c r="S12" i="61929"/>
  <c r="R12" i="61929"/>
  <c r="Q12" i="61929"/>
  <c r="P12" i="61929"/>
  <c r="O12" i="61929"/>
  <c r="N12" i="61929"/>
  <c r="M12" i="61929"/>
  <c r="L12" i="61929"/>
  <c r="AY11" i="61929"/>
  <c r="Z11" i="61929"/>
  <c r="Y11" i="61929"/>
  <c r="X11" i="61929"/>
  <c r="W11" i="61929"/>
  <c r="V11" i="61929"/>
  <c r="U11" i="61929"/>
  <c r="T11" i="61929"/>
  <c r="S11" i="61929"/>
  <c r="R11" i="61929"/>
  <c r="Q11" i="61929"/>
  <c r="P11" i="61929"/>
  <c r="O11" i="61929"/>
  <c r="N11" i="61929"/>
  <c r="M11" i="61929"/>
  <c r="L11" i="61929"/>
  <c r="H20" i="61945"/>
  <c r="K34" i="61929" l="1"/>
  <c r="Y18" i="61929"/>
  <c r="W19" i="61929"/>
  <c r="W17" i="61929"/>
  <c r="T22" i="61929"/>
  <c r="M28" i="61929"/>
  <c r="T25" i="61929"/>
  <c r="Y25" i="61929"/>
  <c r="X21" i="61929"/>
  <c r="Q16" i="61929"/>
  <c r="T29" i="61929"/>
  <c r="Q28" i="61929"/>
  <c r="U28" i="61929"/>
  <c r="N27" i="61929"/>
  <c r="V27" i="61929"/>
  <c r="N25" i="61929"/>
  <c r="N23" i="61929"/>
  <c r="Y23" i="61929"/>
  <c r="L22" i="61929"/>
  <c r="M21" i="61929"/>
  <c r="R21" i="61929"/>
  <c r="P20" i="61929"/>
  <c r="L18" i="61929"/>
  <c r="T18" i="61929"/>
  <c r="L29" i="61929"/>
  <c r="V29" i="61929"/>
  <c r="N29" i="61929"/>
  <c r="Y29" i="61929"/>
  <c r="Q29" i="61929"/>
  <c r="W26" i="61929"/>
  <c r="P24" i="61929"/>
  <c r="T24" i="61929"/>
  <c r="L24" i="61929"/>
  <c r="T23" i="61929"/>
  <c r="T21" i="61929"/>
  <c r="N21" i="61929"/>
  <c r="Y21" i="61929"/>
  <c r="X20" i="61929"/>
  <c r="V18" i="61929"/>
  <c r="N18" i="61929"/>
  <c r="M29" i="61929"/>
  <c r="R29" i="61929"/>
  <c r="X29" i="61929"/>
  <c r="P29" i="61929"/>
  <c r="U29" i="61929"/>
  <c r="Z29" i="61929"/>
  <c r="L27" i="61929"/>
  <c r="T27" i="61929"/>
  <c r="P27" i="61929"/>
  <c r="X27" i="61929"/>
  <c r="R27" i="61929"/>
  <c r="Z27" i="61929"/>
  <c r="O26" i="61929"/>
  <c r="P25" i="61929"/>
  <c r="U25" i="61929"/>
  <c r="Z25" i="61929"/>
  <c r="L25" i="61929"/>
  <c r="Q25" i="61929"/>
  <c r="V25" i="61929"/>
  <c r="M25" i="61929"/>
  <c r="R25" i="61929"/>
  <c r="X25" i="61929"/>
  <c r="N24" i="61929"/>
  <c r="V24" i="61929"/>
  <c r="X24" i="61929"/>
  <c r="R24" i="61929"/>
  <c r="Z24" i="61929"/>
  <c r="P23" i="61929"/>
  <c r="U23" i="61929"/>
  <c r="Z23" i="61929"/>
  <c r="L23" i="61929"/>
  <c r="Q23" i="61929"/>
  <c r="V23" i="61929"/>
  <c r="M23" i="61929"/>
  <c r="R23" i="61929"/>
  <c r="X23" i="61929"/>
  <c r="N22" i="61929"/>
  <c r="V22" i="61929"/>
  <c r="P22" i="61929"/>
  <c r="X22" i="61929"/>
  <c r="R22" i="61929"/>
  <c r="Z22" i="61929"/>
  <c r="P21" i="61929"/>
  <c r="U21" i="61929"/>
  <c r="Z21" i="61929"/>
  <c r="L21" i="61929"/>
  <c r="Q21" i="61929"/>
  <c r="V21" i="61929"/>
  <c r="R20" i="61929"/>
  <c r="Z20" i="61929"/>
  <c r="L20" i="61929"/>
  <c r="T20" i="61929"/>
  <c r="N20" i="61929"/>
  <c r="V20" i="61929"/>
  <c r="P19" i="61929"/>
  <c r="N19" i="61929"/>
  <c r="T19" i="61929"/>
  <c r="Y19" i="61929"/>
  <c r="U19" i="61929"/>
  <c r="L19" i="61929"/>
  <c r="Q19" i="61929"/>
  <c r="V19" i="61929"/>
  <c r="Z19" i="61929"/>
  <c r="M19" i="61929"/>
  <c r="R19" i="61929"/>
  <c r="X19" i="61929"/>
  <c r="P18" i="61929"/>
  <c r="X18" i="61929"/>
  <c r="R18" i="61929"/>
  <c r="Z18" i="61929"/>
  <c r="Z17" i="61929"/>
  <c r="N17" i="61929"/>
  <c r="T17" i="61929"/>
  <c r="Y17" i="61929"/>
  <c r="U17" i="61929"/>
  <c r="L17" i="61929"/>
  <c r="Q17" i="61929"/>
  <c r="V17" i="61929"/>
  <c r="P17" i="61929"/>
  <c r="M17" i="61929"/>
  <c r="R17" i="61929"/>
  <c r="X17" i="61929"/>
  <c r="U16" i="61929"/>
  <c r="M16" i="61929"/>
  <c r="Y16" i="61929"/>
  <c r="Z30" i="61929"/>
  <c r="V30" i="61929"/>
  <c r="R30" i="61929"/>
  <c r="N30" i="61929"/>
  <c r="X30" i="61929"/>
  <c r="T30" i="61929"/>
  <c r="P30" i="61929"/>
  <c r="L30" i="61929"/>
  <c r="W30" i="61929"/>
  <c r="S30" i="61929"/>
  <c r="U30" i="61929"/>
  <c r="Z16" i="61929"/>
  <c r="V16" i="61929"/>
  <c r="V34" i="61929" s="1"/>
  <c r="R16" i="61929"/>
  <c r="N16" i="61929"/>
  <c r="X16" i="61929"/>
  <c r="T16" i="61929"/>
  <c r="P16" i="61929"/>
  <c r="L16" i="61929"/>
  <c r="L34" i="61929" s="1"/>
  <c r="S16" i="61929"/>
  <c r="Q26" i="61929"/>
  <c r="X28" i="61929"/>
  <c r="T28" i="61929"/>
  <c r="P28" i="61929"/>
  <c r="L28" i="61929"/>
  <c r="Z28" i="61929"/>
  <c r="V28" i="61929"/>
  <c r="R28" i="61929"/>
  <c r="N28" i="61929"/>
  <c r="S28" i="61929"/>
  <c r="M30" i="61929"/>
  <c r="Y30" i="61929"/>
  <c r="Z26" i="61929"/>
  <c r="V26" i="61929"/>
  <c r="R26" i="61929"/>
  <c r="N26" i="61929"/>
  <c r="X26" i="61929"/>
  <c r="T26" i="61929"/>
  <c r="P26" i="61929"/>
  <c r="L26" i="61929"/>
  <c r="S26" i="61929"/>
  <c r="O30" i="61929"/>
  <c r="O16" i="61929"/>
  <c r="W16" i="61929"/>
  <c r="M26" i="61929"/>
  <c r="U26" i="61929"/>
  <c r="O28" i="61929"/>
  <c r="W28" i="61929"/>
  <c r="Q30" i="61929"/>
  <c r="O18" i="61929"/>
  <c r="S18" i="61929"/>
  <c r="W18" i="61929"/>
  <c r="O20" i="61929"/>
  <c r="S20" i="61929"/>
  <c r="W20" i="61929"/>
  <c r="O22" i="61929"/>
  <c r="S22" i="61929"/>
  <c r="W22" i="61929"/>
  <c r="O24" i="61929"/>
  <c r="S24" i="61929"/>
  <c r="W24" i="61929"/>
  <c r="O27" i="61929"/>
  <c r="S27" i="61929"/>
  <c r="W27" i="61929"/>
  <c r="O17" i="61929"/>
  <c r="S17" i="61929"/>
  <c r="M18" i="61929"/>
  <c r="Q18" i="61929"/>
  <c r="U18" i="61929"/>
  <c r="O19" i="61929"/>
  <c r="S19" i="61929"/>
  <c r="M20" i="61929"/>
  <c r="Q20" i="61929"/>
  <c r="U20" i="61929"/>
  <c r="O21" i="61929"/>
  <c r="S21" i="61929"/>
  <c r="M22" i="61929"/>
  <c r="Q22" i="61929"/>
  <c r="U22" i="61929"/>
  <c r="O23" i="61929"/>
  <c r="S23" i="61929"/>
  <c r="M24" i="61929"/>
  <c r="Q24" i="61929"/>
  <c r="U24" i="61929"/>
  <c r="O25" i="61929"/>
  <c r="S25" i="61929"/>
  <c r="M27" i="61929"/>
  <c r="Q27" i="61929"/>
  <c r="U27" i="61929"/>
  <c r="O29" i="61929"/>
  <c r="S29" i="61929"/>
  <c r="N34" i="61929" l="1"/>
  <c r="U34" i="61929"/>
  <c r="U35" i="61929" s="1"/>
  <c r="U36" i="61929" s="1"/>
  <c r="U37" i="61929" s="1"/>
  <c r="P34" i="61929"/>
  <c r="P35" i="61929" s="1"/>
  <c r="G20" i="61929" s="1"/>
  <c r="T34" i="61929"/>
  <c r="T35" i="61929" s="1"/>
  <c r="Q34" i="61929"/>
  <c r="Q35" i="61929" s="1"/>
  <c r="G21" i="61929" s="1"/>
  <c r="O34" i="61929"/>
  <c r="O35" i="61929" s="1"/>
  <c r="G19" i="61929" s="1"/>
  <c r="R34" i="61929"/>
  <c r="R35" i="61929" s="1"/>
  <c r="R36" i="61929" s="1"/>
  <c r="R37" i="61929" s="1"/>
  <c r="M34" i="61929"/>
  <c r="M35" i="61929" s="1"/>
  <c r="G17" i="61929" s="1"/>
  <c r="W34" i="61929"/>
  <c r="W35" i="61929" s="1"/>
  <c r="W36" i="61929" s="1"/>
  <c r="W37" i="61929" s="1"/>
  <c r="S34" i="61929"/>
  <c r="S35" i="61929" s="1"/>
  <c r="X34" i="61929"/>
  <c r="X35" i="61929" s="1"/>
  <c r="X36" i="61929" s="1"/>
  <c r="X37" i="61929" s="1"/>
  <c r="Z34" i="61929"/>
  <c r="Z35" i="61929" s="1"/>
  <c r="Z36" i="61929" s="1"/>
  <c r="Z37" i="61929" s="1"/>
  <c r="Y34" i="61929"/>
  <c r="Y35" i="61929" s="1"/>
  <c r="Y36" i="61929" s="1"/>
  <c r="Y37" i="61929" s="1"/>
  <c r="V35" i="61929"/>
  <c r="V36" i="61929" s="1"/>
  <c r="V37" i="61929" s="1"/>
  <c r="L35" i="61929"/>
  <c r="N35" i="61929"/>
  <c r="O36" i="61929" l="1"/>
  <c r="O37" i="61929" s="1"/>
  <c r="M36" i="61929"/>
  <c r="M37" i="61929" s="1"/>
  <c r="Q36" i="61929"/>
  <c r="Q37" i="61929" s="1"/>
  <c r="G25" i="61929"/>
  <c r="P36" i="61929"/>
  <c r="P37" i="61929" s="1"/>
  <c r="G22" i="61929"/>
  <c r="N36" i="61929"/>
  <c r="N37" i="61929" s="1"/>
  <c r="G18" i="61929"/>
  <c r="G16" i="61929"/>
  <c r="L36" i="61929"/>
  <c r="T36" i="61929"/>
  <c r="T37" i="61929" s="1"/>
  <c r="G24" i="61929"/>
  <c r="S36" i="61929"/>
  <c r="S37" i="61929" s="1"/>
  <c r="G23" i="61929"/>
  <c r="L37" i="61929" l="1"/>
  <c r="E34" i="61929" s="1"/>
  <c r="I7" i="61911"/>
  <c r="I8" i="61911"/>
  <c r="I9" i="61911"/>
  <c r="I10" i="61911"/>
  <c r="I11" i="61911"/>
  <c r="I12" i="61911"/>
  <c r="I13" i="61911"/>
  <c r="I14" i="61911"/>
  <c r="I15" i="61911"/>
  <c r="I16" i="61911"/>
  <c r="I17" i="61911"/>
  <c r="I18" i="61911"/>
  <c r="I19" i="61911"/>
  <c r="I20" i="61911"/>
  <c r="I6" i="61911"/>
  <c r="E34" i="62079"/>
  <c r="F34" i="62079"/>
  <c r="D39" i="61929" l="1"/>
  <c r="D40" i="61929" s="1"/>
  <c r="G21" i="61911" l="1"/>
  <c r="D21" i="61911"/>
  <c r="AY10" i="61929" l="1"/>
  <c r="AY9" i="61929"/>
  <c r="AY8" i="61929"/>
  <c r="AY7" i="61929"/>
  <c r="AY6" i="61929"/>
  <c r="AY5" i="61929"/>
  <c r="AY4" i="61929"/>
  <c r="H22" i="61911"/>
  <c r="D38" i="61900" l="1"/>
  <c r="D34" i="61900"/>
  <c r="D33" i="61900"/>
  <c r="D32" i="61900"/>
  <c r="D39" i="61900" s="1"/>
  <c r="E42" i="61977"/>
  <c r="I4" i="61945"/>
  <c r="E42" i="62014"/>
  <c r="E50" i="61977"/>
  <c r="E23" i="61977"/>
  <c r="E41" i="61977"/>
  <c r="E45" i="62013"/>
  <c r="E22" i="62014"/>
  <c r="E34" i="61977"/>
  <c r="F34" i="61929"/>
  <c r="E44" i="62013"/>
  <c r="J4" i="61945"/>
  <c r="E35" i="61977"/>
  <c r="E49" i="61977"/>
  <c r="E40" i="61977"/>
  <c r="E36" i="62013"/>
  <c r="E51" i="62014"/>
  <c r="E45" i="62014"/>
  <c r="E44" i="62014"/>
  <c r="E22" i="61977"/>
  <c r="AY2" i="61929" l="1"/>
  <c r="AY3" i="61929"/>
  <c r="D36" i="61929"/>
  <c r="D41" i="61929" s="1"/>
  <c r="E52" i="62014"/>
  <c r="E54" i="62013"/>
  <c r="E54" i="62014"/>
  <c r="H4" i="61945"/>
  <c r="E46" i="62013"/>
  <c r="E61" i="62013"/>
  <c r="E49" i="62013"/>
  <c r="E59" i="62013"/>
  <c r="E38" i="62013"/>
  <c r="E44" i="61977"/>
  <c r="E36" i="61977"/>
  <c r="E45" i="61977"/>
  <c r="E48" i="62013"/>
  <c r="E65" i="62014"/>
  <c r="E53" i="62013"/>
  <c r="E37" i="62014"/>
  <c r="E67" i="62014"/>
  <c r="G4" i="61945"/>
  <c r="H4" i="61947"/>
  <c r="E60" i="62014"/>
  <c r="E36" i="62014"/>
  <c r="E70" i="62014"/>
  <c r="G4" i="61947"/>
  <c r="E39" i="62013"/>
  <c r="E59" i="62014"/>
  <c r="E69" i="62014"/>
  <c r="E55" i="62014"/>
  <c r="E46" i="62014"/>
  <c r="E63" i="62013"/>
  <c r="E46" i="61977"/>
  <c r="E40" i="62013"/>
  <c r="E64" i="62013"/>
  <c r="E71" i="62014"/>
  <c r="E56" i="62014"/>
  <c r="E38" i="62014"/>
  <c r="E50" i="62013"/>
  <c r="E65" i="62013"/>
</calcChain>
</file>

<file path=xl/sharedStrings.xml><?xml version="1.0" encoding="utf-8"?>
<sst xmlns="http://schemas.openxmlformats.org/spreadsheetml/2006/main" count="1382" uniqueCount="373">
  <si>
    <t>Uncertainty Confidence</t>
  </si>
  <si>
    <t>Measurement Uncertainty Analysis</t>
  </si>
  <si>
    <t/>
  </si>
  <si>
    <t>Organization</t>
  </si>
  <si>
    <t>Normal (90% k=1.645)</t>
  </si>
  <si>
    <t>Analyst</t>
  </si>
  <si>
    <t>Normal (95% k=1.96)</t>
  </si>
  <si>
    <t>A</t>
  </si>
  <si>
    <t>Date</t>
  </si>
  <si>
    <t>Normal (95.45% k=2)</t>
  </si>
  <si>
    <t>B</t>
  </si>
  <si>
    <t>Equipment Name</t>
  </si>
  <si>
    <t>Parameter</t>
  </si>
  <si>
    <t>Normal (99.73% k=3)</t>
  </si>
  <si>
    <t>Nominal or Range</t>
  </si>
  <si>
    <t>Other (StdUnc)</t>
  </si>
  <si>
    <t>Calibration Equipment</t>
  </si>
  <si>
    <t>Rectangular</t>
  </si>
  <si>
    <t>Rectangular (Resolution)</t>
  </si>
  <si>
    <t>Standard Uncertainty</t>
  </si>
  <si>
    <t>Triangular</t>
  </si>
  <si>
    <t>U-Shaped</t>
  </si>
  <si>
    <t>Uncertainty Budget</t>
  </si>
  <si>
    <t>Error Sources</t>
  </si>
  <si>
    <t>Error Limit</t>
  </si>
  <si>
    <t>Error Limit Distribution</t>
  </si>
  <si>
    <t>Uncertainty</t>
  </si>
  <si>
    <t>Degrees</t>
  </si>
  <si>
    <t>Standard</t>
  </si>
  <si>
    <t>(Description)</t>
  </si>
  <si>
    <t>(or Std Unc)</t>
  </si>
  <si>
    <t>(or Std Uncertainty)</t>
  </si>
  <si>
    <t>Type (A/B)</t>
  </si>
  <si>
    <t>of Freedom</t>
  </si>
  <si>
    <t xml:space="preserve"> </t>
  </si>
  <si>
    <t>Combined Uncertainty</t>
  </si>
  <si>
    <t>Combined Uncertainty Results</t>
  </si>
  <si>
    <t>Effective Degrees of freedom</t>
  </si>
  <si>
    <t>Coverage Factor (k)</t>
  </si>
  <si>
    <t>Expanded Uncertainty</t>
  </si>
  <si>
    <t>AC Voltage</t>
  </si>
  <si>
    <t>C</t>
  </si>
  <si>
    <t>u</t>
  </si>
  <si>
    <t>x5</t>
  </si>
  <si>
    <t>Parameter Name</t>
  </si>
  <si>
    <t>Qualifier Name</t>
  </si>
  <si>
    <t>Qualifier Units</t>
  </si>
  <si>
    <t>Reading (IV) Tolerance Units</t>
  </si>
  <si>
    <t xml:space="preserve"> Reading (IV) Tolerance 
Low Value</t>
  </si>
  <si>
    <t>Reading (IV) Tolerance High Value</t>
  </si>
  <si>
    <t xml:space="preserve"> Range (FS) Tolerance 
Low Value</t>
  </si>
  <si>
    <t>Range (FS) Tolerance High Value</t>
  </si>
  <si>
    <t>Range (FS) Tolerance Units</t>
  </si>
  <si>
    <t>Percent</t>
  </si>
  <si>
    <t>PPM</t>
  </si>
  <si>
    <t>Value (Micro-Units)</t>
  </si>
  <si>
    <t>Value (Milli-Units)</t>
  </si>
  <si>
    <t>Value (Nano-Units)</t>
  </si>
  <si>
    <t>Value (Pico-Units)</t>
  </si>
  <si>
    <t>Value (Units)</t>
  </si>
  <si>
    <t>Spec Units Table</t>
  </si>
  <si>
    <t>Qualifier Value</t>
  </si>
  <si>
    <t>TUR</t>
  </si>
  <si>
    <t>PFA</t>
  </si>
  <si>
    <t>PFR</t>
  </si>
  <si>
    <t>PFA
Required</t>
  </si>
  <si>
    <t>GB Mult</t>
  </si>
  <si>
    <t xml:space="preserve"> GB Limit 
Low Value</t>
  </si>
  <si>
    <t>Section</t>
  </si>
  <si>
    <t>Units</t>
  </si>
  <si>
    <t>Divider</t>
  </si>
  <si>
    <t xml:space="preserve"> UUT
Tolerance 
Low Value</t>
  </si>
  <si>
    <t>UUT
Tolerance High Value</t>
  </si>
  <si>
    <t>Range (FS) Value</t>
  </si>
  <si>
    <t>Measurement Units</t>
  </si>
  <si>
    <t>Measurement Point</t>
  </si>
  <si>
    <t>Uncertainty Components</t>
  </si>
  <si>
    <t>Repeatability Analysis (Type A)</t>
  </si>
  <si>
    <t>Measurement Sample</t>
  </si>
  <si>
    <t>Measurement Values</t>
  </si>
  <si>
    <t>Repeatability Analysis Results</t>
  </si>
  <si>
    <t>Standard Deviation</t>
  </si>
  <si>
    <t>Average Measurement</t>
  </si>
  <si>
    <t>Number of Measurements</t>
  </si>
  <si>
    <t xml:space="preserve">        Degrees of Freedom</t>
  </si>
  <si>
    <t>Repeatability Uncertainty</t>
  </si>
  <si>
    <t>Component
Number</t>
  </si>
  <si>
    <t>Error Sources
(Description)</t>
  </si>
  <si>
    <t>Error Limit
(or Std Unc)</t>
  </si>
  <si>
    <t>Error Limit Distribution
(or Std Uncertainty)</t>
  </si>
  <si>
    <t>Uncertainty
Type (A/B)</t>
  </si>
  <si>
    <t>Degrees
of Freedom</t>
  </si>
  <si>
    <t>For Reported Averages, enter the Number of Values Used (n)</t>
  </si>
  <si>
    <t>Equations</t>
  </si>
  <si>
    <t>Combined Degrees
of Freedom</t>
  </si>
  <si>
    <t>Measurement Equation Description</t>
  </si>
  <si>
    <t>Measurement Equation Code/Values</t>
  </si>
  <si>
    <t>Measurement Equation Uncertainty Analysis</t>
  </si>
  <si>
    <t>Delta</t>
  </si>
  <si>
    <t>x1</t>
  </si>
  <si>
    <t>x2</t>
  </si>
  <si>
    <t>x3</t>
  </si>
  <si>
    <t>x4</t>
  </si>
  <si>
    <t>x6</t>
  </si>
  <si>
    <t>x7</t>
  </si>
  <si>
    <t>x8</t>
  </si>
  <si>
    <t>x9</t>
  </si>
  <si>
    <t>x10</t>
  </si>
  <si>
    <t>x</t>
  </si>
  <si>
    <t>df</t>
  </si>
  <si>
    <t>Measurement Equation Inputs</t>
  </si>
  <si>
    <t>Measurement Equation Input Variable</t>
  </si>
  <si>
    <t>Measured Value</t>
  </si>
  <si>
    <t>Degrees of Freedom</t>
  </si>
  <si>
    <t>Sensitivity Coefficient (Calculated)</t>
  </si>
  <si>
    <t>Measurement Equation</t>
  </si>
  <si>
    <t>Equation</t>
  </si>
  <si>
    <t>c</t>
  </si>
  <si>
    <t>cu</t>
  </si>
  <si>
    <t>(cu)^4/df</t>
  </si>
  <si>
    <t>E</t>
  </si>
  <si>
    <t>Equation Value</t>
  </si>
  <si>
    <t>Z</t>
  </si>
  <si>
    <t>DL</t>
  </si>
  <si>
    <t>Equation Combined Uncertainty</t>
  </si>
  <si>
    <t>Equation Expanded Uncertainty</t>
  </si>
  <si>
    <t>Analysis Information</t>
  </si>
  <si>
    <t>Measurement Tolerance
High Value</t>
  </si>
  <si>
    <t>Measurement Tolerance 
Low Value</t>
  </si>
  <si>
    <t>Error Tolerance 
Low Value</t>
  </si>
  <si>
    <t>Error Tolerance
High Value</t>
  </si>
  <si>
    <t>TAR</t>
  </si>
  <si>
    <t>UUT Tolerance Information</t>
  </si>
  <si>
    <t>CALSTD Tolerance Information</t>
  </si>
  <si>
    <t>Document</t>
  </si>
  <si>
    <t>Uncertainty Comment</t>
  </si>
  <si>
    <t>Comments</t>
  </si>
  <si>
    <t>Move To:</t>
  </si>
  <si>
    <t>PFA
With GB</t>
  </si>
  <si>
    <t>PFR
With GB</t>
  </si>
  <si>
    <t>Correlation Matrix</t>
  </si>
  <si>
    <t>Variable</t>
  </si>
  <si>
    <t>(Enter Lower Correlations)</t>
  </si>
  <si>
    <t>Measurement Equation Variable Correlation Analysis</t>
  </si>
  <si>
    <t>Input Variable 1</t>
  </si>
  <si>
    <t>Input Variable 2</t>
  </si>
  <si>
    <t>Correlation</t>
  </si>
  <si>
    <t>Combined Correlation Between Variable 1 and Variable 2</t>
  </si>
  <si>
    <t>EqBudget</t>
  </si>
  <si>
    <t>Variable 1</t>
  </si>
  <si>
    <t>Variable 2</t>
  </si>
  <si>
    <t>Variable 3</t>
  </si>
  <si>
    <t>Variable 4</t>
  </si>
  <si>
    <t>Variable 5</t>
  </si>
  <si>
    <t>Variable 6</t>
  </si>
  <si>
    <t>Variable 7</t>
  </si>
  <si>
    <t>Variable 8</t>
  </si>
  <si>
    <t>Variable 9</t>
  </si>
  <si>
    <t>Variable 10</t>
  </si>
  <si>
    <t>D</t>
  </si>
  <si>
    <t>Tolerance Calculations</t>
  </si>
  <si>
    <t>Budget</t>
  </si>
  <si>
    <t>x11</t>
  </si>
  <si>
    <t>x12</t>
  </si>
  <si>
    <t>x13</t>
  </si>
  <si>
    <t>x14</t>
  </si>
  <si>
    <t>x15</t>
  </si>
  <si>
    <t>Variable 11</t>
  </si>
  <si>
    <t>Variable 12</t>
  </si>
  <si>
    <t>Variable 13</t>
  </si>
  <si>
    <t>Variable 14</t>
  </si>
  <si>
    <t>Variable 15</t>
  </si>
  <si>
    <t>Range (FS) Tolerance Entries</t>
  </si>
  <si>
    <t>Reading (IV) Tolerance Entries</t>
  </si>
  <si>
    <t>Floor Tolerance Entries</t>
  </si>
  <si>
    <t xml:space="preserve"> Floor Tolerance 
Low Value</t>
  </si>
  <si>
    <t>Floor Tolerance High Value</t>
  </si>
  <si>
    <t>Floor Tolerance Units</t>
  </si>
  <si>
    <t>Measurement Equation (Additive)</t>
  </si>
  <si>
    <t>No Of Parameter Variables</t>
  </si>
  <si>
    <t>Rayleigh</t>
  </si>
  <si>
    <t>NSWC Corona Division, MS-XX</t>
  </si>
  <si>
    <t>Engineer</t>
  </si>
  <si>
    <t>Parameter Value</t>
  </si>
  <si>
    <t>Qualifier</t>
  </si>
  <si>
    <t>M</t>
  </si>
  <si>
    <t>Use Degrees
of Freedom</t>
  </si>
  <si>
    <t>Probability Coverage</t>
  </si>
  <si>
    <t>Measurement (IV) Point</t>
  </si>
  <si>
    <t>EN</t>
  </si>
  <si>
    <t>Analysis Notes</t>
  </si>
  <si>
    <t>Tolerance Limit Tool</t>
  </si>
  <si>
    <t>dB Equation
Multiplier</t>
  </si>
  <si>
    <t xml:space="preserve"> dB Tolerance 
Low Value</t>
  </si>
  <si>
    <t>dB
 Tolerance High Value</t>
  </si>
  <si>
    <t>dB Equation
Reference
Value</t>
  </si>
  <si>
    <t>dB Tolerance Entries</t>
  </si>
  <si>
    <t>17-xxxx-xxx Equipment</t>
  </si>
  <si>
    <t>EI</t>
  </si>
  <si>
    <t>Repeatability Data</t>
  </si>
  <si>
    <t>Tolerance Tool Information</t>
  </si>
  <si>
    <t>Value 1</t>
  </si>
  <si>
    <t>Value 2</t>
  </si>
  <si>
    <t>Value 3</t>
  </si>
  <si>
    <t>Value 4</t>
  </si>
  <si>
    <t>Value 5</t>
  </si>
  <si>
    <t>Value 6</t>
  </si>
  <si>
    <t>Value 7</t>
  </si>
  <si>
    <t>Value 8</t>
  </si>
  <si>
    <t>Value 9</t>
  </si>
  <si>
    <t>Value 10</t>
  </si>
  <si>
    <t>Value 11</t>
  </si>
  <si>
    <t>Value 12</t>
  </si>
  <si>
    <t>Value 13</t>
  </si>
  <si>
    <t>Value 14</t>
  </si>
  <si>
    <t>Value 15</t>
  </si>
  <si>
    <t>Number of Values Used</t>
  </si>
  <si>
    <t>GI</t>
  </si>
  <si>
    <t>GZ</t>
  </si>
  <si>
    <t>FS</t>
  </si>
  <si>
    <t>dB
Value</t>
  </si>
  <si>
    <t>Calculated
Measurement Value</t>
  </si>
  <si>
    <t>Measurement
Value</t>
  </si>
  <si>
    <t>Calculated
db
Value</t>
  </si>
  <si>
    <t>Conversion Calculations (as needed)</t>
  </si>
  <si>
    <t>FD</t>
  </si>
  <si>
    <t>Row 1</t>
  </si>
  <si>
    <t>Row 2</t>
  </si>
  <si>
    <t>Row 3</t>
  </si>
  <si>
    <t>Row 4</t>
  </si>
  <si>
    <t>Row 5</t>
  </si>
  <si>
    <t>Row 6</t>
  </si>
  <si>
    <t>Row 7</t>
  </si>
  <si>
    <t>Row 8</t>
  </si>
  <si>
    <t>Row 9</t>
  </si>
  <si>
    <t>Row 10</t>
  </si>
  <si>
    <t>Row 11</t>
  </si>
  <si>
    <t>Row 12</t>
  </si>
  <si>
    <t>Row 13</t>
  </si>
  <si>
    <t>Row 14</t>
  </si>
  <si>
    <t>Row 15</t>
  </si>
  <si>
    <t>Upper Tolerance Limit</t>
  </si>
  <si>
    <t>Lower Tolerance Limit</t>
  </si>
  <si>
    <t>Calibration Uncertainty (Expanded)</t>
  </si>
  <si>
    <t>Wrong Decision Rate</t>
  </si>
  <si>
    <t>PFA Requirement</t>
  </si>
  <si>
    <t>Wrong Decision Rate with Guard Bands</t>
  </si>
  <si>
    <t>Upper Acceptance Limit</t>
  </si>
  <si>
    <t>Lower Acceptance Limit</t>
  </si>
  <si>
    <t>Tolerance Limit Multiplier</t>
  </si>
  <si>
    <t>Normal (99% k=2.576)</t>
  </si>
  <si>
    <t>Probability of False Acceptance  (PFA)</t>
  </si>
  <si>
    <t>Probability of False Rejection  (PFR)</t>
  </si>
  <si>
    <t>PFA with Guard Bands</t>
  </si>
  <si>
    <t>PFR with Guard Bands</t>
  </si>
  <si>
    <t>Voltmeter 8920A 89536</t>
  </si>
  <si>
    <t>Frequency</t>
  </si>
  <si>
    <t>Voltage Cal 5700AAN 89536</t>
  </si>
  <si>
    <t>Standard Uncertainty (Combined)</t>
  </si>
  <si>
    <t>Measurement Uncertainty (Expanded)</t>
  </si>
  <si>
    <t>P</t>
  </si>
  <si>
    <t>T</t>
  </si>
  <si>
    <t>AI</t>
  </si>
  <si>
    <t>X</t>
  </si>
  <si>
    <t>4.1.2</t>
  </si>
  <si>
    <t>Cal Std Unc</t>
  </si>
  <si>
    <t>Nominal</t>
  </si>
  <si>
    <t>Assumed Calibration Interval</t>
  </si>
  <si>
    <t>Upper Std Limit</t>
  </si>
  <si>
    <t>Lower Std Limit</t>
  </si>
  <si>
    <t>Risk Results Based on Measured REOP</t>
  </si>
  <si>
    <t>Assumptions</t>
  </si>
  <si>
    <t>Measured Reliability (REOP)</t>
  </si>
  <si>
    <t>Are Applied To Meet PFA Requirement</t>
  </si>
  <si>
    <t>REOP With Interval Change</t>
  </si>
  <si>
    <r>
      <t xml:space="preserve">Measurement Decision Risk Analysis
</t>
    </r>
    <r>
      <rPr>
        <b/>
        <sz val="14"/>
        <rFont val="Arial"/>
        <family val="2"/>
      </rPr>
      <t>(Measured REOP at Calculated TUR)</t>
    </r>
  </si>
  <si>
    <t>REOP Requirement</t>
  </si>
  <si>
    <t>Guard Bands Managed To Required REOP</t>
  </si>
  <si>
    <t>Calculated TAR</t>
  </si>
  <si>
    <t>Calculated TUR</t>
  </si>
  <si>
    <t>Assumed Average/Nominal (For SS Limits)</t>
  </si>
  <si>
    <t>Interval Needed When Guard Bands</t>
  </si>
  <si>
    <t>Risk Examples</t>
  </si>
  <si>
    <t>20 V</t>
  </si>
  <si>
    <t>3 Hz</t>
  </si>
  <si>
    <r>
      <t xml:space="preserve">Measurement Decision Risk Analysis
</t>
    </r>
    <r>
      <rPr>
        <b/>
        <sz val="14"/>
        <rFont val="Arial"/>
        <family val="2"/>
      </rPr>
      <t>(Assumed REOP at Assumed TUR)</t>
    </r>
  </si>
  <si>
    <t>Standard Unc</t>
  </si>
  <si>
    <t>Assumed Reliability (REOP)</t>
  </si>
  <si>
    <t>Assumed TUR to Achieve Assumed REOP</t>
  </si>
  <si>
    <t>PFA Based on Measured REOP</t>
  </si>
  <si>
    <t>PFR Based on Measured REOP</t>
  </si>
  <si>
    <t>Risk Results Based on Assumed REOP</t>
  </si>
  <si>
    <t>Predicted REOP with Calculated TUR</t>
  </si>
  <si>
    <t>PFA Based on Predicted REOP</t>
  </si>
  <si>
    <t>PFR Based on Predicted REOP</t>
  </si>
  <si>
    <t>Managing Risk With Calibration Intervals</t>
  </si>
  <si>
    <t>Interval Needed To Meet</t>
  </si>
  <si>
    <t>PFA Requirement Without Guard Bands</t>
  </si>
  <si>
    <t>REOP Needed To Meet</t>
  </si>
  <si>
    <t>PFA with Interval Change</t>
  </si>
  <si>
    <t>PFR with Interval Change</t>
  </si>
  <si>
    <t>Wrong Decision Rate with Interval Change</t>
  </si>
  <si>
    <t>J</t>
  </si>
  <si>
    <t>EO</t>
  </si>
  <si>
    <t>Measuring Resolution (Least Sig Digit)</t>
  </si>
  <si>
    <t>Measuring Resolution</t>
  </si>
  <si>
    <t>Resolution</t>
  </si>
  <si>
    <t>Repeatability</t>
  </si>
  <si>
    <t>Risk Comment</t>
  </si>
  <si>
    <t>UUT</t>
  </si>
  <si>
    <t>Document Date:</t>
  </si>
  <si>
    <t>Document:</t>
  </si>
  <si>
    <t>Equipment:</t>
  </si>
  <si>
    <t>Test Uncertainty (Expanded)</t>
  </si>
  <si>
    <t>TMDE</t>
  </si>
  <si>
    <t>Move To</t>
  </si>
  <si>
    <t>Equipment
Document</t>
  </si>
  <si>
    <t>Equipment
(Model CAGE Nomenclature)
(Platform System Subsystem)</t>
  </si>
  <si>
    <t>TMDE
Tolerance
Low Value</t>
  </si>
  <si>
    <t>TMDE
Tolerance
High Value</t>
  </si>
  <si>
    <t>Analysis Date (MM/DD/YYYY)</t>
  </si>
  <si>
    <t>Analysis Date</t>
  </si>
  <si>
    <t>Resistance</t>
  </si>
  <si>
    <t>CALSTD</t>
  </si>
  <si>
    <t>CALSTD CAL (Fluke 5700)</t>
  </si>
  <si>
    <t>Cal  Int
With GB</t>
  </si>
  <si>
    <t>Cal Int
w/o GB</t>
  </si>
  <si>
    <t xml:space="preserve">Model CAGE Nomenclature
 </t>
  </si>
  <si>
    <t>Meas Rel Target</t>
  </si>
  <si>
    <t>Meas Rel
Calc/Assumed</t>
  </si>
  <si>
    <t>Meas Rel
Needed
w/o GB</t>
  </si>
  <si>
    <t>TUR Needed
For Assumed
Meas Rel
(Blank = Calc)</t>
  </si>
  <si>
    <t>Calibration Interval</t>
  </si>
  <si>
    <t>GB Limit
High Value</t>
  </si>
  <si>
    <t>Pressure</t>
  </si>
  <si>
    <t>CALSTD CAL (KN 3689)</t>
  </si>
  <si>
    <t>(Resolution of Instrument doing the measuring.)</t>
  </si>
  <si>
    <t>Measurement Equation Tolerance Analysis</t>
  </si>
  <si>
    <t>Tolerance</t>
  </si>
  <si>
    <t>Equation Tolerance Results</t>
  </si>
  <si>
    <t>Equation Tolerance</t>
  </si>
  <si>
    <t>UUT Equation Tolerance Tool Information</t>
  </si>
  <si>
    <t>Use Equation Tolerances</t>
  </si>
  <si>
    <t>PC</t>
  </si>
  <si>
    <t>UUT Tol Eq Correlation Matrix</t>
  </si>
  <si>
    <t>Comment</t>
  </si>
  <si>
    <t>AC Voltage 2</t>
  </si>
  <si>
    <t>Lower Tolerance</t>
  </si>
  <si>
    <t>Upper Tolerance</t>
  </si>
  <si>
    <t>ICP 17-5xxx-xxx</t>
  </si>
  <si>
    <t>V</t>
  </si>
  <si>
    <t>AC Voltage 1</t>
  </si>
  <si>
    <t>Ratio = V1 / V2</t>
  </si>
  <si>
    <t>CALSTD Cal</t>
  </si>
  <si>
    <t>Single Sided Limits</t>
  </si>
  <si>
    <t>Low Limit with Average</t>
  </si>
  <si>
    <t>Upper Limit with Lower Bound</t>
  </si>
  <si>
    <t>Power</t>
  </si>
  <si>
    <t>mW</t>
  </si>
  <si>
    <t>Dennis Jackson</t>
  </si>
  <si>
    <t>NSWC Corona Division, MS-01</t>
  </si>
  <si>
    <t>Model CAGE Nomenclature</t>
  </si>
  <si>
    <t>30 V</t>
  </si>
  <si>
    <t>UUT Tolerance Calculator</t>
  </si>
  <si>
    <t>Tests</t>
  </si>
  <si>
    <t>Model CAGE Nomenclature
ICP 17-5xxx-xxx 9/30/2008</t>
  </si>
  <si>
    <t>$C$18</t>
  </si>
  <si>
    <t>Ratio</t>
  </si>
  <si>
    <t>AC Voltage 2 = True + e(CALSTD) + e(CALSTD Cal) + e(Resolution) + e(Repeatability)</t>
  </si>
  <si>
    <t xml:space="preserve">0.833333333333333 </t>
  </si>
  <si>
    <t>Casto Tests</t>
  </si>
  <si>
    <t>$D$17</t>
  </si>
  <si>
    <t>NSWC Corona Division, MS-xx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</si>
</sst>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
    <numFmt numFmtId="165" formatCode="0.0000"/>
    <numFmt numFmtId="166" formatCode="0.0E+00"/>
    <numFmt numFmtId="167" formatCode="_(* #,##0_);_(* \(#,##0\);_(* &quot;-&quot;??_);_(@_)"/>
    <numFmt numFmtId="168" formatCode="0.0000000"/>
    <numFmt numFmtId="169" formatCode="0.000000"/>
    <numFmt numFmtId="170" formatCode="0.0"/>
    <numFmt numFmtId="171" formatCode="mm/dd/yyyy"/>
  </numFmts>
  <fonts count="37" x14ac:knownFonts="1">
    <font>
      <sz val="10"/>
      <name val="Arial"/>
    </font>
    <font>
      <sz val="10"/>
      <color theme="1"/>
      <name val="Arial"/>
      <family val="2"/>
    </font>
    <font>
      <sz val="10"/>
      <name val="Arial"/>
      <family val="2"/>
    </font>
    <font>
      <sz val="10"/>
      <name val="Arial"/>
      <family val="2"/>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
      <name val="Arial"/>
      <family val="2"/>
    </font>
    <font>
      <b/>
      <sz val="12"/>
      <name val="Arial"/>
      <family val="2"/>
    </font>
    <font>
      <sz val="9"/>
      <name val="Arial"/>
      <family val="2"/>
    </font>
    <font>
      <sz val="10"/>
      <name val="Arial"/>
      <family val="2"/>
    </font>
    <font>
      <b/>
      <sz val="18"/>
      <name val="Arial"/>
      <family val="2"/>
    </font>
    <font>
      <sz val="10"/>
      <name val="Arial"/>
      <family val="2"/>
    </font>
    <font>
      <sz val="10"/>
      <color indexed="23"/>
      <name val="Arial"/>
      <family val="2"/>
    </font>
    <font>
      <sz val="8"/>
      <name val="Arial"/>
      <family val="2"/>
    </font>
    <font>
      <sz val="10"/>
      <color indexed="12"/>
      <name val="Arial"/>
      <family val="2"/>
    </font>
    <font>
      <sz val="9"/>
      <color rgb="FF000000"/>
      <name val="Arial"/>
      <family val="2"/>
    </font>
    <font>
      <sz val="10"/>
      <color rgb="FF0000FF"/>
      <name val="Arial"/>
      <family val="2"/>
    </font>
    <font>
      <b/>
      <sz val="14"/>
      <name val="Arial"/>
      <family val="2"/>
    </font>
    <font>
      <sz val="10"/>
      <color rgb="FFBFBFBF"/>
      <name val="Arial"/>
      <family val="2"/>
    </font>
    <font>
      <b/>
      <sz val="11"/>
      <name val="Arial"/>
      <family val="2"/>
    </font>
    <font>
      <sz val="14"/>
      <name val="Arial"/>
      <family val="2"/>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theme="3" tint="0.59999389629810485"/>
        <bgColor indexed="64"/>
      </patternFill>
    </fill>
    <fill>
      <patternFill patternType="solid">
        <fgColor rgb="FFC0C0C0"/>
        <bgColor indexed="64"/>
      </patternFill>
    </fill>
    <fill>
      <patternFill patternType="solid">
        <fgColor rgb="FF8DB4E2"/>
        <bgColor indexed="64"/>
      </patternFill>
    </fill>
    <fill>
      <patternFill patternType="solid">
        <fgColor rgb="FF92D050"/>
        <bgColor indexed="64"/>
      </patternFill>
    </fill>
    <fill>
      <patternFill patternType="solid">
        <fgColor theme="0"/>
        <bgColor indexed="64"/>
      </patternFill>
    </fill>
    <fill>
      <patternFill patternType="solid">
        <fgColor rgb="FF8DB4E2"/>
        <bgColor rgb="FF000000"/>
      </patternFill>
    </fill>
    <fill>
      <patternFill patternType="solid">
        <fgColor rgb="FFC0C0C0"/>
        <bgColor rgb="FF000000"/>
      </patternFill>
    </fill>
    <fill>
      <patternFill patternType="solid">
        <fgColor rgb="FFFFFFFF"/>
        <bgColor rgb="FF000000"/>
      </patternFill>
    </fill>
    <fill>
      <patternFill patternType="solid">
        <fgColor theme="0"/>
        <bgColor rgb="FF000000"/>
      </patternFill>
    </fill>
  </fills>
  <borders count="4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double">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3">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43" fontId="25" fillId="0" borderId="0" applyFon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3" fillId="23" borderId="7" applyNumberFormat="0" applyFont="0" applyAlignment="0" applyProtection="0"/>
    <xf numFmtId="0" fontId="18" fillId="20" borderId="8" applyNumberFormat="0" applyAlignment="0" applyProtection="0"/>
    <xf numFmtId="9" fontId="2" fillId="0" borderId="0" applyFon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3" fillId="0" borderId="0"/>
    <xf numFmtId="9" fontId="3" fillId="0" borderId="0" applyFont="0" applyFill="0" applyBorder="0" applyAlignment="0" applyProtection="0"/>
    <xf numFmtId="9" fontId="27"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23" borderId="7" applyNumberFormat="0" applyFont="0" applyAlignment="0" applyProtection="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2"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454">
    <xf numFmtId="0" fontId="0" fillId="0" borderId="0" xfId="0"/>
    <xf numFmtId="0" fontId="4" fillId="0" borderId="0" xfId="0" applyFont="1"/>
    <xf numFmtId="0" fontId="22" fillId="0" borderId="20" xfId="44" applyFont="1" applyBorder="1" applyAlignment="1">
      <alignment horizontal="center"/>
    </xf>
    <xf numFmtId="1" fontId="2" fillId="0" borderId="18" xfId="47" applyNumberFormat="1" applyBorder="1" applyAlignment="1" applyProtection="1">
      <alignment horizontal="center" vertical="center"/>
      <protection locked="0"/>
    </xf>
    <xf numFmtId="0" fontId="2" fillId="0" borderId="18" xfId="47" applyBorder="1" applyAlignment="1" applyProtection="1">
      <alignment horizontal="center" vertical="center"/>
      <protection locked="0"/>
    </xf>
    <xf numFmtId="11" fontId="2" fillId="0" borderId="18" xfId="47" applyNumberFormat="1" applyBorder="1" applyAlignment="1" applyProtection="1">
      <alignment horizontal="center" vertical="center"/>
      <protection locked="0"/>
    </xf>
    <xf numFmtId="0" fontId="2" fillId="0" borderId="0" xfId="47"/>
    <xf numFmtId="0" fontId="2" fillId="0" borderId="0" xfId="47" applyProtection="1">
      <protection locked="0"/>
    </xf>
    <xf numFmtId="0" fontId="2" fillId="0" borderId="0" xfId="47" quotePrefix="1"/>
    <xf numFmtId="164" fontId="2" fillId="0" borderId="0" xfId="47" applyNumberFormat="1"/>
    <xf numFmtId="0" fontId="2" fillId="0" borderId="0" xfId="47" applyAlignment="1" applyProtection="1">
      <alignment horizontal="center"/>
      <protection locked="0"/>
    </xf>
    <xf numFmtId="0" fontId="22" fillId="24" borderId="17" xfId="47" applyFont="1" applyFill="1" applyBorder="1" applyAlignment="1">
      <alignment horizontal="center" vertical="center" wrapText="1"/>
    </xf>
    <xf numFmtId="0" fontId="22" fillId="24" borderId="18" xfId="47" applyFont="1" applyFill="1" applyBorder="1" applyAlignment="1">
      <alignment horizontal="center" vertical="center" wrapText="1"/>
    </xf>
    <xf numFmtId="0" fontId="22" fillId="24" borderId="18" xfId="47" applyFont="1" applyFill="1" applyBorder="1" applyAlignment="1" applyProtection="1">
      <alignment horizontal="center"/>
      <protection locked="0"/>
    </xf>
    <xf numFmtId="11" fontId="2" fillId="0" borderId="18" xfId="47" applyNumberFormat="1" applyBorder="1" applyAlignment="1">
      <alignment horizontal="center" vertical="top" wrapText="1"/>
    </xf>
    <xf numFmtId="0" fontId="22" fillId="24" borderId="10" xfId="47" applyFont="1" applyFill="1" applyBorder="1" applyAlignment="1" applyProtection="1">
      <alignment horizontal="center"/>
      <protection locked="0"/>
    </xf>
    <xf numFmtId="0" fontId="2" fillId="0" borderId="18" xfId="47" applyBorder="1" applyAlignment="1" applyProtection="1">
      <alignment horizontal="right" indent="1"/>
      <protection locked="0"/>
    </xf>
    <xf numFmtId="1" fontId="2" fillId="0" borderId="11" xfId="47" applyNumberFormat="1" applyBorder="1" applyAlignment="1">
      <alignment horizontal="center" vertical="center"/>
    </xf>
    <xf numFmtId="0" fontId="2" fillId="0" borderId="13" xfId="47" applyBorder="1" applyAlignment="1">
      <alignment horizontal="center" vertical="center"/>
    </xf>
    <xf numFmtId="1" fontId="4" fillId="0" borderId="35" xfId="47" applyNumberFormat="1" applyFont="1" applyBorder="1" applyAlignment="1">
      <alignment horizontal="center" vertical="center"/>
    </xf>
    <xf numFmtId="1" fontId="2" fillId="0" borderId="10" xfId="47" applyNumberFormat="1" applyBorder="1" applyAlignment="1" applyProtection="1">
      <alignment horizontal="center" vertical="center"/>
      <protection locked="0"/>
    </xf>
    <xf numFmtId="1" fontId="4" fillId="0" borderId="10" xfId="47" applyNumberFormat="1" applyFont="1" applyBorder="1" applyAlignment="1">
      <alignment horizontal="center" vertical="center"/>
    </xf>
    <xf numFmtId="1" fontId="4" fillId="0" borderId="17" xfId="44" applyNumberFormat="1" applyFont="1" applyBorder="1" applyAlignment="1">
      <alignment horizontal="center" vertical="center"/>
    </xf>
    <xf numFmtId="0" fontId="3" fillId="0" borderId="13" xfId="44" applyBorder="1" applyAlignment="1">
      <alignment horizontal="center" vertical="center"/>
    </xf>
    <xf numFmtId="1" fontId="4" fillId="0" borderId="18" xfId="44" applyNumberFormat="1" applyFont="1" applyBorder="1" applyAlignment="1">
      <alignment horizontal="center" vertical="center"/>
    </xf>
    <xf numFmtId="49" fontId="2" fillId="0" borderId="18" xfId="47" applyNumberFormat="1" applyBorder="1" applyAlignment="1" applyProtection="1">
      <alignment horizontal="left" vertical="center" wrapText="1"/>
      <protection locked="0"/>
    </xf>
    <xf numFmtId="164" fontId="2" fillId="0" borderId="0" xfId="47" applyNumberFormat="1" applyAlignment="1">
      <alignment horizontal="left" vertical="top" wrapText="1" indent="1"/>
    </xf>
    <xf numFmtId="11" fontId="2" fillId="0" borderId="10" xfId="47" applyNumberFormat="1" applyBorder="1" applyAlignment="1" applyProtection="1">
      <alignment horizontal="center"/>
      <protection locked="0"/>
    </xf>
    <xf numFmtId="165" fontId="2" fillId="0" borderId="18" xfId="47" applyNumberFormat="1" applyBorder="1" applyAlignment="1" applyProtection="1">
      <alignment horizontal="center" vertical="top" wrapText="1"/>
      <protection locked="0"/>
    </xf>
    <xf numFmtId="0" fontId="2" fillId="0" borderId="10" xfId="47" applyBorder="1" applyAlignment="1" applyProtection="1">
      <alignment horizontal="right" indent="1"/>
      <protection locked="0"/>
    </xf>
    <xf numFmtId="11" fontId="4" fillId="0" borderId="10" xfId="47" applyNumberFormat="1" applyFont="1" applyBorder="1" applyAlignment="1">
      <alignment horizontal="center"/>
    </xf>
    <xf numFmtId="165" fontId="2" fillId="24" borderId="18" xfId="47" applyNumberFormat="1" applyFill="1" applyBorder="1" applyAlignment="1" applyProtection="1">
      <alignment horizontal="center" vertical="top" wrapText="1"/>
      <protection locked="0"/>
    </xf>
    <xf numFmtId="165" fontId="4" fillId="0" borderId="10" xfId="47" applyNumberFormat="1" applyFont="1" applyBorder="1" applyAlignment="1">
      <alignment horizontal="center" vertical="top" wrapText="1"/>
    </xf>
    <xf numFmtId="2" fontId="4" fillId="0" borderId="18" xfId="47" applyNumberFormat="1" applyFont="1" applyBorder="1" applyAlignment="1">
      <alignment horizontal="center"/>
    </xf>
    <xf numFmtId="2" fontId="2" fillId="0" borderId="10" xfId="47" applyNumberFormat="1" applyBorder="1" applyAlignment="1" applyProtection="1">
      <alignment horizontal="center"/>
      <protection locked="0"/>
    </xf>
    <xf numFmtId="0" fontId="0" fillId="0" borderId="10" xfId="0"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2" fillId="0" borderId="10" xfId="0" applyFont="1" applyBorder="1" applyAlignment="1" applyProtection="1">
      <alignment horizontal="center" vertical="center"/>
      <protection locked="0"/>
    </xf>
    <xf numFmtId="49" fontId="0" fillId="0" borderId="10" xfId="0" applyNumberFormat="1" applyBorder="1" applyAlignment="1" applyProtection="1">
      <alignment horizontal="center" vertical="center"/>
      <protection locked="0"/>
    </xf>
    <xf numFmtId="0" fontId="0" fillId="0" borderId="0" xfId="0" applyAlignment="1" applyProtection="1">
      <alignment horizontal="center"/>
      <protection locked="0"/>
    </xf>
    <xf numFmtId="0" fontId="0" fillId="0" borderId="0" xfId="0" applyProtection="1">
      <protection locked="0"/>
    </xf>
    <xf numFmtId="0" fontId="4" fillId="0" borderId="0" xfId="0" applyFont="1" applyProtection="1">
      <protection locked="0"/>
    </xf>
    <xf numFmtId="0" fontId="4" fillId="0" borderId="22" xfId="0" applyFont="1" applyBorder="1" applyProtection="1">
      <protection locked="0"/>
    </xf>
    <xf numFmtId="0" fontId="3" fillId="0" borderId="0" xfId="0" applyFont="1" applyAlignment="1" applyProtection="1">
      <alignment horizontal="center" vertical="center" wrapText="1"/>
      <protection locked="0"/>
    </xf>
    <xf numFmtId="1" fontId="0" fillId="0" borderId="0" xfId="0" applyNumberFormat="1" applyProtection="1">
      <protection locked="0"/>
    </xf>
    <xf numFmtId="167" fontId="25" fillId="0" borderId="0" xfId="28" applyNumberFormat="1" applyBorder="1" applyProtection="1">
      <protection locked="0"/>
    </xf>
    <xf numFmtId="166" fontId="0" fillId="0" borderId="0" xfId="0" applyNumberFormat="1" applyProtection="1">
      <protection locked="0"/>
    </xf>
    <xf numFmtId="0" fontId="26" fillId="0" borderId="0" xfId="0" applyFont="1"/>
    <xf numFmtId="0" fontId="0" fillId="0" borderId="0" xfId="0" applyAlignment="1">
      <alignment horizontal="center"/>
    </xf>
    <xf numFmtId="0" fontId="4" fillId="0" borderId="0" xfId="0" applyFont="1" applyAlignment="1">
      <alignment horizontal="left"/>
    </xf>
    <xf numFmtId="49" fontId="4" fillId="25" borderId="10" xfId="0" applyNumberFormat="1" applyFont="1" applyFill="1" applyBorder="1" applyAlignment="1">
      <alignment horizontal="center" vertical="center" wrapText="1"/>
    </xf>
    <xf numFmtId="0" fontId="4" fillId="25" borderId="10" xfId="0" applyFont="1" applyFill="1" applyBorder="1" applyAlignment="1">
      <alignment horizontal="center" vertical="center" wrapText="1"/>
    </xf>
    <xf numFmtId="0" fontId="4" fillId="28"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0" xfId="0" applyBorder="1" applyAlignment="1">
      <alignment horizontal="center" vertical="center"/>
    </xf>
    <xf numFmtId="0" fontId="2" fillId="0" borderId="10" xfId="0" applyFont="1" applyBorder="1" applyAlignment="1" applyProtection="1">
      <alignment horizontal="center" vertical="center" wrapText="1"/>
      <protection locked="0"/>
    </xf>
    <xf numFmtId="0" fontId="3" fillId="0" borderId="0" xfId="0" applyFont="1" applyAlignment="1">
      <alignment horizontal="center" vertical="center" wrapText="1"/>
    </xf>
    <xf numFmtId="10" fontId="0" fillId="0" borderId="10" xfId="40" applyNumberFormat="1" applyFont="1" applyBorder="1" applyAlignment="1" applyProtection="1">
      <alignment horizontal="center" vertical="center"/>
    </xf>
    <xf numFmtId="0" fontId="3" fillId="0" borderId="0" xfId="44" applyAlignment="1">
      <alignment horizontal="center"/>
    </xf>
    <xf numFmtId="0" fontId="3" fillId="0" borderId="0" xfId="44"/>
    <xf numFmtId="0" fontId="22" fillId="24" borderId="18" xfId="44" applyFont="1" applyFill="1" applyBorder="1" applyAlignment="1">
      <alignment horizontal="center"/>
    </xf>
    <xf numFmtId="0" fontId="22" fillId="24" borderId="10" xfId="44" applyFont="1" applyFill="1" applyBorder="1" applyAlignment="1">
      <alignment horizontal="center"/>
    </xf>
    <xf numFmtId="0" fontId="3" fillId="0" borderId="20" xfId="44" applyBorder="1"/>
    <xf numFmtId="0" fontId="3" fillId="0" borderId="21" xfId="44" applyBorder="1"/>
    <xf numFmtId="0" fontId="2" fillId="0" borderId="0" xfId="47" applyAlignment="1">
      <alignment horizontal="center" vertical="center"/>
    </xf>
    <xf numFmtId="168" fontId="2" fillId="0" borderId="10" xfId="47" applyNumberFormat="1" applyBorder="1" applyAlignment="1">
      <alignment horizontal="center" vertical="center"/>
    </xf>
    <xf numFmtId="11" fontId="2" fillId="0" borderId="0" xfId="47" applyNumberFormat="1" applyAlignment="1">
      <alignment horizontal="center" vertical="center"/>
    </xf>
    <xf numFmtId="0" fontId="22" fillId="24" borderId="10" xfId="47" applyFont="1" applyFill="1" applyBorder="1" applyAlignment="1">
      <alignment horizontal="center"/>
    </xf>
    <xf numFmtId="0" fontId="2" fillId="0" borderId="18" xfId="47" applyBorder="1" applyAlignment="1">
      <alignment horizontal="right" indent="1"/>
    </xf>
    <xf numFmtId="11" fontId="2" fillId="0" borderId="23" xfId="47" applyNumberFormat="1" applyBorder="1" applyAlignment="1">
      <alignment horizontal="center" vertical="top" wrapText="1"/>
    </xf>
    <xf numFmtId="0" fontId="2" fillId="0" borderId="18" xfId="47" applyBorder="1" applyAlignment="1">
      <alignment horizontal="center"/>
    </xf>
    <xf numFmtId="0" fontId="2" fillId="0" borderId="20" xfId="47" applyBorder="1" applyAlignment="1">
      <alignment horizontal="center" vertical="center"/>
    </xf>
    <xf numFmtId="0" fontId="2" fillId="0" borderId="10" xfId="47" applyBorder="1" applyAlignment="1">
      <alignment horizontal="center" vertical="center"/>
    </xf>
    <xf numFmtId="0" fontId="2" fillId="0" borderId="18" xfId="47" applyBorder="1" applyAlignment="1">
      <alignment horizontal="center" vertical="center"/>
    </xf>
    <xf numFmtId="0" fontId="22" fillId="24" borderId="18" xfId="47" applyFont="1" applyFill="1" applyBorder="1" applyAlignment="1">
      <alignment horizontal="center"/>
    </xf>
    <xf numFmtId="0" fontId="2" fillId="0" borderId="0" xfId="47" applyAlignment="1">
      <alignment horizontal="left" vertical="top" wrapText="1" indent="1"/>
    </xf>
    <xf numFmtId="11" fontId="2" fillId="0" borderId="27" xfId="47" applyNumberFormat="1" applyBorder="1" applyAlignment="1">
      <alignment horizontal="center"/>
    </xf>
    <xf numFmtId="11" fontId="2" fillId="0" borderId="0" xfId="47" applyNumberFormat="1" applyAlignment="1">
      <alignment horizontal="center"/>
    </xf>
    <xf numFmtId="0" fontId="28" fillId="0" borderId="10" xfId="47" applyFont="1" applyBorder="1" applyAlignment="1">
      <alignment horizontal="center" vertical="center"/>
    </xf>
    <xf numFmtId="1" fontId="4" fillId="0" borderId="28" xfId="44" applyNumberFormat="1" applyFont="1" applyBorder="1" applyAlignment="1" applyProtection="1">
      <alignment horizontal="center" vertical="center"/>
      <protection locked="0"/>
    </xf>
    <xf numFmtId="0" fontId="2" fillId="0" borderId="18" xfId="47" applyBorder="1" applyAlignment="1">
      <alignment horizontal="right" vertical="center" wrapText="1" indent="1"/>
    </xf>
    <xf numFmtId="0" fontId="2" fillId="0" borderId="10" xfId="47" applyBorder="1" applyAlignment="1" applyProtection="1">
      <alignment horizontal="right" vertical="center" wrapText="1" indent="1"/>
      <protection locked="0"/>
    </xf>
    <xf numFmtId="0" fontId="2" fillId="0" borderId="18" xfId="0" applyFont="1" applyBorder="1" applyAlignment="1" applyProtection="1">
      <alignment horizontal="center"/>
      <protection locked="0"/>
    </xf>
    <xf numFmtId="1" fontId="2" fillId="0" borderId="18" xfId="0" applyNumberFormat="1" applyFont="1" applyBorder="1" applyAlignment="1" applyProtection="1">
      <alignment horizontal="center"/>
      <protection locked="0"/>
    </xf>
    <xf numFmtId="1" fontId="2" fillId="0" borderId="10" xfId="0" applyNumberFormat="1" applyFont="1" applyBorder="1" applyAlignment="1" applyProtection="1">
      <alignment horizontal="center"/>
      <protection locked="0"/>
    </xf>
    <xf numFmtId="0" fontId="2" fillId="0" borderId="10" xfId="0" applyFont="1" applyBorder="1" applyAlignment="1" applyProtection="1">
      <alignment horizontal="right" wrapText="1" indent="1"/>
      <protection locked="0"/>
    </xf>
    <xf numFmtId="0" fontId="22" fillId="24" borderId="11" xfId="47" applyFont="1" applyFill="1" applyBorder="1" applyAlignment="1">
      <alignment horizontal="center"/>
    </xf>
    <xf numFmtId="0" fontId="22" fillId="24" borderId="0" xfId="47" applyFont="1" applyFill="1" applyAlignment="1">
      <alignment horizontal="center" vertical="center" wrapText="1"/>
    </xf>
    <xf numFmtId="2" fontId="2" fillId="0" borderId="18" xfId="47" applyNumberFormat="1" applyBorder="1" applyAlignment="1">
      <alignment horizontal="center"/>
    </xf>
    <xf numFmtId="168" fontId="2" fillId="0" borderId="13" xfId="47" applyNumberFormat="1" applyBorder="1" applyAlignment="1">
      <alignment horizontal="center" vertical="center"/>
    </xf>
    <xf numFmtId="49" fontId="0" fillId="0" borderId="10" xfId="0" applyNumberFormat="1" applyBorder="1" applyAlignment="1" applyProtection="1">
      <alignment horizontal="center" vertical="center" wrapText="1"/>
      <protection locked="0"/>
    </xf>
    <xf numFmtId="0" fontId="3" fillId="0" borderId="10" xfId="0" applyFont="1" applyBorder="1" applyAlignment="1">
      <alignment horizontal="center" vertical="center" wrapText="1"/>
    </xf>
    <xf numFmtId="0" fontId="4" fillId="29" borderId="0" xfId="0" applyFont="1" applyFill="1" applyAlignment="1">
      <alignment horizontal="left"/>
    </xf>
    <xf numFmtId="0" fontId="0" fillId="29" borderId="0" xfId="0" applyFill="1" applyAlignment="1">
      <alignment horizontal="center"/>
    </xf>
    <xf numFmtId="0" fontId="4" fillId="29" borderId="0" xfId="0" applyFont="1" applyFill="1" applyAlignment="1">
      <alignment horizontal="center" vertical="center" wrapText="1"/>
    </xf>
    <xf numFmtId="0" fontId="0" fillId="29" borderId="0" xfId="0" applyFill="1" applyAlignment="1" applyProtection="1">
      <alignment horizontal="center" vertical="center"/>
      <protection locked="0"/>
    </xf>
    <xf numFmtId="0" fontId="0" fillId="29" borderId="0" xfId="0" applyFill="1" applyAlignment="1" applyProtection="1">
      <alignment horizontal="center" vertical="center" wrapText="1"/>
      <protection locked="0"/>
    </xf>
    <xf numFmtId="0" fontId="2" fillId="29" borderId="0" xfId="0" applyFont="1" applyFill="1" applyAlignment="1" applyProtection="1">
      <alignment horizontal="center" vertical="center"/>
      <protection locked="0"/>
    </xf>
    <xf numFmtId="49" fontId="0" fillId="29" borderId="0" xfId="0" applyNumberFormat="1" applyFill="1" applyAlignment="1" applyProtection="1">
      <alignment horizontal="center" vertical="center" wrapText="1"/>
      <protection locked="0"/>
    </xf>
    <xf numFmtId="0" fontId="4" fillId="0" borderId="0" xfId="47" applyFont="1" applyAlignment="1">
      <alignment horizontal="center" vertical="center"/>
    </xf>
    <xf numFmtId="0" fontId="4" fillId="0" borderId="0" xfId="47" applyFont="1" applyAlignment="1">
      <alignment horizontal="left" vertical="center"/>
    </xf>
    <xf numFmtId="10" fontId="2" fillId="0" borderId="0" xfId="40" applyNumberFormat="1" applyProtection="1">
      <protection locked="0"/>
    </xf>
    <xf numFmtId="0" fontId="4" fillId="0" borderId="0" xfId="47" applyFont="1" applyAlignment="1">
      <alignment horizontal="center" vertical="top"/>
    </xf>
    <xf numFmtId="9" fontId="2" fillId="0" borderId="0" xfId="40" applyProtection="1"/>
    <xf numFmtId="0" fontId="2" fillId="26" borderId="10" xfId="47" applyFill="1" applyBorder="1"/>
    <xf numFmtId="0" fontId="2" fillId="26" borderId="17" xfId="47" applyFill="1" applyBorder="1"/>
    <xf numFmtId="0" fontId="2" fillId="26" borderId="28" xfId="47" applyFill="1" applyBorder="1"/>
    <xf numFmtId="0" fontId="2" fillId="26" borderId="18" xfId="47" applyFill="1" applyBorder="1"/>
    <xf numFmtId="0" fontId="22" fillId="24" borderId="21" xfId="47" applyFont="1" applyFill="1" applyBorder="1" applyAlignment="1">
      <alignment horizontal="center" vertical="center" wrapText="1"/>
    </xf>
    <xf numFmtId="0" fontId="22" fillId="24" borderId="11" xfId="47" applyFont="1" applyFill="1" applyBorder="1" applyAlignment="1">
      <alignment horizontal="center" vertical="center" wrapText="1"/>
    </xf>
    <xf numFmtId="0" fontId="22" fillId="24" borderId="10" xfId="47" applyFont="1" applyFill="1" applyBorder="1" applyAlignment="1">
      <alignment horizontal="center" vertical="center" wrapText="1"/>
    </xf>
    <xf numFmtId="0" fontId="2" fillId="0" borderId="0" xfId="47" applyAlignment="1" applyProtection="1">
      <alignment horizontal="center" vertical="center"/>
      <protection locked="0"/>
    </xf>
    <xf numFmtId="10" fontId="4" fillId="0" borderId="34" xfId="49" applyNumberFormat="1" applyFont="1" applyFill="1" applyBorder="1" applyAlignment="1" applyProtection="1">
      <alignment horizontal="center" vertical="center"/>
      <protection locked="0"/>
    </xf>
    <xf numFmtId="10" fontId="2" fillId="0" borderId="0" xfId="47" applyNumberFormat="1"/>
    <xf numFmtId="0" fontId="2" fillId="27" borderId="10" xfId="47" applyFill="1" applyBorder="1"/>
    <xf numFmtId="0" fontId="4" fillId="28" borderId="10" xfId="0" applyFont="1" applyFill="1" applyBorder="1" applyAlignment="1" applyProtection="1">
      <alignment horizontal="center" vertical="center" wrapText="1"/>
      <protection locked="0"/>
    </xf>
    <xf numFmtId="10" fontId="2" fillId="0" borderId="18" xfId="40" applyNumberFormat="1" applyFont="1" applyFill="1" applyBorder="1" applyAlignment="1" applyProtection="1">
      <alignment horizontal="center" vertical="center"/>
      <protection locked="0"/>
    </xf>
    <xf numFmtId="0" fontId="2" fillId="0" borderId="0" xfId="47" applyAlignment="1" applyProtection="1">
      <alignment horizontal="left" vertical="top" wrapText="1"/>
      <protection locked="0"/>
    </xf>
    <xf numFmtId="0" fontId="2" fillId="0" borderId="10" xfId="47" applyBorder="1" applyAlignment="1" applyProtection="1">
      <alignment horizontal="center" vertical="center" wrapText="1"/>
      <protection locked="0"/>
    </xf>
    <xf numFmtId="0" fontId="2" fillId="0" borderId="10" xfId="47" applyBorder="1" applyAlignment="1" applyProtection="1">
      <alignment horizontal="center" vertical="center"/>
      <protection locked="0"/>
    </xf>
    <xf numFmtId="49" fontId="2" fillId="0" borderId="10" xfId="47" applyNumberFormat="1" applyBorder="1" applyAlignment="1" applyProtection="1">
      <alignment horizontal="center" vertical="center"/>
      <protection locked="0"/>
    </xf>
    <xf numFmtId="165" fontId="2" fillId="0" borderId="10" xfId="47" applyNumberFormat="1" applyBorder="1" applyAlignment="1" applyProtection="1">
      <alignment horizontal="center" vertical="center"/>
      <protection locked="0"/>
    </xf>
    <xf numFmtId="0" fontId="29" fillId="0" borderId="10" xfId="47" applyFont="1" applyBorder="1" applyAlignment="1" applyProtection="1">
      <alignment horizontal="center" vertical="center" wrapText="1"/>
      <protection locked="0"/>
    </xf>
    <xf numFmtId="2" fontId="2" fillId="0" borderId="0" xfId="47" applyNumberFormat="1" applyAlignment="1" applyProtection="1">
      <alignment horizontal="left" vertical="top" wrapText="1"/>
      <protection locked="0"/>
    </xf>
    <xf numFmtId="0" fontId="4" fillId="0" borderId="0" xfId="0" applyFont="1" applyAlignment="1" applyProtection="1">
      <alignment horizontal="left"/>
      <protection locked="0"/>
    </xf>
    <xf numFmtId="0" fontId="4" fillId="25" borderId="10" xfId="0" applyFont="1" applyFill="1" applyBorder="1" applyAlignment="1" applyProtection="1">
      <alignment horizontal="center" vertical="center" wrapText="1"/>
      <protection locked="0"/>
    </xf>
    <xf numFmtId="49" fontId="4" fillId="25" borderId="10" xfId="0" applyNumberFormat="1" applyFont="1" applyFill="1" applyBorder="1" applyAlignment="1" applyProtection="1">
      <alignment horizontal="center" vertical="center" wrapText="1"/>
      <protection locked="0"/>
    </xf>
    <xf numFmtId="0" fontId="3" fillId="0" borderId="18" xfId="44" applyBorder="1" applyAlignment="1" applyProtection="1">
      <alignment horizontal="center" vertical="center"/>
      <protection locked="0"/>
    </xf>
    <xf numFmtId="0" fontId="4" fillId="0" borderId="10" xfId="44" applyFont="1" applyBorder="1" applyAlignment="1">
      <alignment horizontal="center" vertical="center"/>
    </xf>
    <xf numFmtId="164" fontId="4" fillId="0" borderId="10" xfId="47" applyNumberFormat="1" applyFont="1" applyBorder="1" applyAlignment="1">
      <alignment horizontal="center" vertical="center"/>
    </xf>
    <xf numFmtId="164" fontId="4" fillId="0" borderId="35" xfId="47" applyNumberFormat="1" applyFont="1" applyBorder="1" applyAlignment="1">
      <alignment horizontal="center" vertical="center"/>
    </xf>
    <xf numFmtId="0" fontId="2" fillId="0" borderId="0" xfId="0" applyFont="1" applyProtection="1">
      <protection locked="0"/>
    </xf>
    <xf numFmtId="0" fontId="2" fillId="0" borderId="10" xfId="47" applyBorder="1" applyAlignment="1" applyProtection="1">
      <alignment horizontal="right" wrapText="1" indent="1"/>
      <protection locked="0"/>
    </xf>
    <xf numFmtId="10" fontId="2" fillId="0" borderId="10" xfId="40" applyNumberFormat="1" applyFont="1" applyBorder="1" applyAlignment="1" applyProtection="1">
      <alignment horizontal="center"/>
      <protection locked="0"/>
    </xf>
    <xf numFmtId="2" fontId="2" fillId="0" borderId="0" xfId="47" applyNumberFormat="1"/>
    <xf numFmtId="2" fontId="4" fillId="0" borderId="0" xfId="47" applyNumberFormat="1" applyFont="1"/>
    <xf numFmtId="2" fontId="4" fillId="24" borderId="0" xfId="47" applyNumberFormat="1" applyFont="1" applyFill="1"/>
    <xf numFmtId="2" fontId="2" fillId="24" borderId="0" xfId="47" applyNumberFormat="1" applyFill="1"/>
    <xf numFmtId="1" fontId="4" fillId="24" borderId="0" xfId="47" applyNumberFormat="1" applyFont="1" applyFill="1"/>
    <xf numFmtId="2" fontId="30" fillId="0" borderId="0" xfId="47" applyNumberFormat="1" applyFont="1" applyAlignment="1">
      <alignment horizontal="center"/>
    </xf>
    <xf numFmtId="165" fontId="2" fillId="0" borderId="10" xfId="47" applyNumberFormat="1" applyBorder="1" applyAlignment="1" applyProtection="1">
      <alignment horizontal="center"/>
      <protection locked="0"/>
    </xf>
    <xf numFmtId="165" fontId="2" fillId="0" borderId="0" xfId="47" applyNumberFormat="1" applyAlignment="1">
      <alignment horizontal="center"/>
    </xf>
    <xf numFmtId="10" fontId="2" fillId="0" borderId="0" xfId="47" applyNumberFormat="1" applyAlignment="1">
      <alignment horizontal="center"/>
    </xf>
    <xf numFmtId="10" fontId="30" fillId="0" borderId="0" xfId="47" applyNumberFormat="1" applyFont="1" applyAlignment="1">
      <alignment horizontal="center"/>
    </xf>
    <xf numFmtId="169" fontId="30" fillId="0" borderId="0" xfId="47" applyNumberFormat="1" applyFont="1" applyAlignment="1">
      <alignment horizontal="center"/>
    </xf>
    <xf numFmtId="10" fontId="30" fillId="24" borderId="0" xfId="47" applyNumberFormat="1" applyFont="1" applyFill="1" applyAlignment="1">
      <alignment horizontal="center"/>
    </xf>
    <xf numFmtId="2" fontId="30" fillId="24" borderId="0" xfId="47" applyNumberFormat="1" applyFont="1" applyFill="1" applyAlignment="1">
      <alignment horizontal="center"/>
    </xf>
    <xf numFmtId="165" fontId="2" fillId="24" borderId="0" xfId="47" applyNumberFormat="1" applyFill="1" applyAlignment="1">
      <alignment horizontal="center"/>
    </xf>
    <xf numFmtId="10" fontId="2" fillId="24" borderId="0" xfId="47" applyNumberFormat="1" applyFill="1" applyAlignment="1">
      <alignment horizontal="center"/>
    </xf>
    <xf numFmtId="169" fontId="30" fillId="24" borderId="0" xfId="47" applyNumberFormat="1" applyFont="1" applyFill="1" applyAlignment="1">
      <alignment horizontal="center"/>
    </xf>
    <xf numFmtId="165" fontId="2" fillId="26" borderId="0" xfId="47" applyNumberFormat="1" applyFill="1" applyAlignment="1">
      <alignment horizontal="center"/>
    </xf>
    <xf numFmtId="2" fontId="2" fillId="26" borderId="0" xfId="47" applyNumberFormat="1" applyFill="1"/>
    <xf numFmtId="2" fontId="30" fillId="26" borderId="0" xfId="47" applyNumberFormat="1" applyFont="1" applyFill="1" applyAlignment="1">
      <alignment horizontal="center"/>
    </xf>
    <xf numFmtId="10" fontId="2" fillId="26" borderId="0" xfId="47" applyNumberFormat="1" applyFill="1" applyAlignment="1">
      <alignment horizontal="center"/>
    </xf>
    <xf numFmtId="10" fontId="30" fillId="26" borderId="0" xfId="47" applyNumberFormat="1" applyFont="1" applyFill="1" applyAlignment="1">
      <alignment horizontal="center"/>
    </xf>
    <xf numFmtId="169" fontId="30" fillId="26" borderId="0" xfId="47" applyNumberFormat="1" applyFont="1" applyFill="1" applyAlignment="1">
      <alignment horizontal="center"/>
    </xf>
    <xf numFmtId="2" fontId="2" fillId="24" borderId="27" xfId="47" applyNumberFormat="1" applyFill="1" applyBorder="1"/>
    <xf numFmtId="2" fontId="2" fillId="26" borderId="20" xfId="47" applyNumberFormat="1" applyFill="1" applyBorder="1"/>
    <xf numFmtId="165" fontId="2" fillId="26" borderId="20" xfId="47" applyNumberFormat="1" applyFill="1" applyBorder="1" applyAlignment="1">
      <alignment horizontal="center"/>
    </xf>
    <xf numFmtId="2" fontId="30" fillId="26" borderId="20" xfId="47" applyNumberFormat="1" applyFont="1" applyFill="1" applyBorder="1" applyAlignment="1">
      <alignment horizontal="center"/>
    </xf>
    <xf numFmtId="10" fontId="2" fillId="26" borderId="20" xfId="47" applyNumberFormat="1" applyFill="1" applyBorder="1" applyAlignment="1">
      <alignment horizontal="center"/>
    </xf>
    <xf numFmtId="10" fontId="30" fillId="26" borderId="20" xfId="47" applyNumberFormat="1" applyFont="1" applyFill="1" applyBorder="1" applyAlignment="1">
      <alignment horizontal="center"/>
    </xf>
    <xf numFmtId="169" fontId="30" fillId="26" borderId="20" xfId="47" applyNumberFormat="1" applyFont="1" applyFill="1" applyBorder="1" applyAlignment="1">
      <alignment horizontal="center"/>
    </xf>
    <xf numFmtId="10" fontId="30" fillId="26" borderId="20" xfId="47" quotePrefix="1" applyNumberFormat="1" applyFont="1" applyFill="1" applyBorder="1" applyAlignment="1">
      <alignment horizontal="center"/>
    </xf>
    <xf numFmtId="10" fontId="2" fillId="29" borderId="10" xfId="40" applyNumberFormat="1" applyFont="1" applyFill="1" applyBorder="1" applyAlignment="1" applyProtection="1">
      <alignment horizontal="center"/>
    </xf>
    <xf numFmtId="2" fontId="2" fillId="29" borderId="10" xfId="47" applyNumberFormat="1" applyFill="1" applyBorder="1" applyAlignment="1">
      <alignment horizontal="center"/>
    </xf>
    <xf numFmtId="10" fontId="2" fillId="29" borderId="10" xfId="47" applyNumberFormat="1" applyFill="1" applyBorder="1" applyAlignment="1">
      <alignment horizontal="center"/>
    </xf>
    <xf numFmtId="1" fontId="2" fillId="24" borderId="0" xfId="47" applyNumberFormat="1" applyFill="1"/>
    <xf numFmtId="165" fontId="2" fillId="29" borderId="10" xfId="47" applyNumberFormat="1" applyFill="1" applyBorder="1" applyAlignment="1">
      <alignment horizontal="center"/>
    </xf>
    <xf numFmtId="0" fontId="2" fillId="0" borderId="0" xfId="47" applyAlignment="1">
      <alignment horizontal="center"/>
    </xf>
    <xf numFmtId="165" fontId="2" fillId="0" borderId="10" xfId="47" applyNumberFormat="1" applyBorder="1" applyAlignment="1">
      <alignment horizontal="center"/>
    </xf>
    <xf numFmtId="169" fontId="2" fillId="0" borderId="10" xfId="47" applyNumberFormat="1" applyBorder="1" applyAlignment="1">
      <alignment horizontal="center"/>
    </xf>
    <xf numFmtId="10" fontId="2" fillId="29" borderId="10" xfId="47" applyNumberFormat="1" applyFill="1" applyBorder="1" applyAlignment="1" applyProtection="1">
      <alignment horizontal="center"/>
      <protection locked="0"/>
    </xf>
    <xf numFmtId="49" fontId="4" fillId="24" borderId="0" xfId="47" applyNumberFormat="1" applyFont="1" applyFill="1" applyAlignment="1">
      <alignment horizontal="right" vertical="center" indent="1"/>
    </xf>
    <xf numFmtId="0" fontId="4" fillId="0" borderId="17" xfId="47" applyFont="1" applyBorder="1" applyAlignment="1">
      <alignment horizontal="center" vertical="center"/>
    </xf>
    <xf numFmtId="0" fontId="4" fillId="0" borderId="10" xfId="47" applyFont="1" applyBorder="1" applyAlignment="1">
      <alignment horizontal="center" vertical="center"/>
    </xf>
    <xf numFmtId="0" fontId="2" fillId="0" borderId="23" xfId="47" applyBorder="1" applyAlignment="1">
      <alignment horizontal="center" vertical="center" wrapText="1"/>
    </xf>
    <xf numFmtId="0" fontId="2" fillId="0" borderId="11" xfId="47" applyBorder="1" applyAlignment="1">
      <alignment horizontal="center" vertical="center" wrapText="1"/>
    </xf>
    <xf numFmtId="0" fontId="2" fillId="0" borderId="18" xfId="47" applyBorder="1" applyAlignment="1">
      <alignment horizontal="center" vertical="center" wrapText="1"/>
    </xf>
    <xf numFmtId="0" fontId="4" fillId="0" borderId="33" xfId="47" applyFont="1" applyBorder="1" applyAlignment="1">
      <alignment horizontal="center" vertical="center"/>
    </xf>
    <xf numFmtId="0" fontId="4" fillId="0" borderId="35" xfId="47" applyFont="1" applyBorder="1" applyAlignment="1">
      <alignment horizontal="center" vertical="center"/>
    </xf>
    <xf numFmtId="49" fontId="2" fillId="0" borderId="10" xfId="0" applyNumberFormat="1" applyFont="1" applyBorder="1" applyAlignment="1" applyProtection="1">
      <alignment horizontal="center" vertical="center" wrapText="1"/>
      <protection locked="0"/>
    </xf>
    <xf numFmtId="2" fontId="2" fillId="31" borderId="27" xfId="47" applyNumberFormat="1" applyFill="1" applyBorder="1"/>
    <xf numFmtId="49" fontId="4" fillId="31" borderId="0" xfId="47" applyNumberFormat="1" applyFont="1" applyFill="1" applyAlignment="1">
      <alignment horizontal="right" vertical="center" indent="1"/>
    </xf>
    <xf numFmtId="1" fontId="4" fillId="31" borderId="0" xfId="47" applyNumberFormat="1" applyFont="1" applyFill="1"/>
    <xf numFmtId="10" fontId="32" fillId="31" borderId="0" xfId="47" applyNumberFormat="1" applyFont="1" applyFill="1" applyAlignment="1">
      <alignment horizontal="center"/>
    </xf>
    <xf numFmtId="165" fontId="2" fillId="31" borderId="0" xfId="47" applyNumberFormat="1" applyFill="1" applyAlignment="1">
      <alignment horizontal="center"/>
    </xf>
    <xf numFmtId="2" fontId="2" fillId="31" borderId="0" xfId="47" applyNumberFormat="1" applyFill="1"/>
    <xf numFmtId="2" fontId="2" fillId="31" borderId="20" xfId="47" applyNumberFormat="1" applyFill="1" applyBorder="1"/>
    <xf numFmtId="1" fontId="2" fillId="31" borderId="0" xfId="47" applyNumberFormat="1" applyFill="1"/>
    <xf numFmtId="2" fontId="2" fillId="31" borderId="23" xfId="47" applyNumberFormat="1" applyFill="1" applyBorder="1"/>
    <xf numFmtId="49" fontId="4" fillId="31" borderId="19" xfId="47" applyNumberFormat="1" applyFont="1" applyFill="1" applyBorder="1" applyAlignment="1">
      <alignment horizontal="right" vertical="center" indent="1"/>
    </xf>
    <xf numFmtId="2" fontId="4" fillId="31" borderId="19" xfId="47" applyNumberFormat="1" applyFont="1" applyFill="1" applyBorder="1"/>
    <xf numFmtId="2" fontId="2" fillId="31" borderId="19" xfId="47" applyNumberFormat="1" applyFill="1" applyBorder="1"/>
    <xf numFmtId="2" fontId="2" fillId="31" borderId="21" xfId="47" applyNumberFormat="1" applyFill="1" applyBorder="1"/>
    <xf numFmtId="0" fontId="2" fillId="24" borderId="0" xfId="40" applyNumberFormat="1" applyFont="1" applyFill="1" applyBorder="1" applyAlignment="1" applyProtection="1">
      <alignment horizontal="center"/>
      <protection hidden="1"/>
    </xf>
    <xf numFmtId="168" fontId="2" fillId="0" borderId="0" xfId="47" applyNumberFormat="1"/>
    <xf numFmtId="0" fontId="4" fillId="0" borderId="0" xfId="47" applyFont="1"/>
    <xf numFmtId="2" fontId="4" fillId="0" borderId="0" xfId="47" applyNumberFormat="1" applyFont="1" applyAlignment="1">
      <alignment horizontal="left"/>
    </xf>
    <xf numFmtId="170" fontId="2" fillId="32" borderId="10" xfId="47" applyNumberFormat="1" applyFill="1" applyBorder="1" applyAlignment="1" applyProtection="1">
      <alignment horizontal="center"/>
      <protection locked="0"/>
    </xf>
    <xf numFmtId="2" fontId="4" fillId="31" borderId="0" xfId="47" applyNumberFormat="1" applyFont="1" applyFill="1"/>
    <xf numFmtId="49" fontId="4" fillId="31" borderId="17" xfId="47" applyNumberFormat="1" applyFont="1" applyFill="1" applyBorder="1" applyAlignment="1">
      <alignment horizontal="right" vertical="center" indent="1"/>
    </xf>
    <xf numFmtId="49" fontId="4" fillId="31" borderId="18" xfId="47" applyNumberFormat="1" applyFont="1" applyFill="1" applyBorder="1" applyAlignment="1">
      <alignment horizontal="right" vertical="center" indent="1"/>
    </xf>
    <xf numFmtId="2" fontId="2" fillId="32" borderId="10" xfId="47" applyNumberFormat="1" applyFill="1" applyBorder="1" applyAlignment="1">
      <alignment horizontal="center"/>
    </xf>
    <xf numFmtId="49" fontId="4" fillId="31" borderId="10" xfId="47" applyNumberFormat="1" applyFont="1" applyFill="1" applyBorder="1" applyAlignment="1">
      <alignment horizontal="right" vertical="center" indent="1"/>
    </xf>
    <xf numFmtId="10" fontId="2" fillId="32" borderId="10" xfId="47" applyNumberFormat="1" applyFill="1" applyBorder="1" applyAlignment="1">
      <alignment horizontal="center"/>
    </xf>
    <xf numFmtId="165" fontId="2" fillId="31" borderId="20" xfId="47" applyNumberFormat="1" applyFill="1" applyBorder="1" applyAlignment="1">
      <alignment horizontal="center"/>
    </xf>
    <xf numFmtId="0" fontId="34" fillId="31" borderId="0" xfId="48" applyNumberFormat="1" applyFont="1" applyFill="1" applyBorder="1" applyAlignment="1" applyProtection="1">
      <alignment horizontal="center"/>
    </xf>
    <xf numFmtId="2" fontId="32" fillId="31" borderId="0" xfId="47" applyNumberFormat="1" applyFont="1" applyFill="1" applyAlignment="1">
      <alignment horizontal="center"/>
    </xf>
    <xf numFmtId="2" fontId="32" fillId="31" borderId="20" xfId="47" applyNumberFormat="1" applyFont="1" applyFill="1" applyBorder="1" applyAlignment="1">
      <alignment horizontal="center"/>
    </xf>
    <xf numFmtId="169" fontId="32" fillId="31" borderId="0" xfId="47" applyNumberFormat="1" applyFont="1" applyFill="1" applyAlignment="1">
      <alignment horizontal="center"/>
    </xf>
    <xf numFmtId="169" fontId="32" fillId="31" borderId="20" xfId="47" applyNumberFormat="1" applyFont="1" applyFill="1" applyBorder="1" applyAlignment="1">
      <alignment horizontal="center"/>
    </xf>
    <xf numFmtId="10" fontId="2" fillId="31" borderId="0" xfId="47" applyNumberFormat="1" applyFill="1" applyAlignment="1">
      <alignment horizontal="center"/>
    </xf>
    <xf numFmtId="10" fontId="2" fillId="31" borderId="20" xfId="47" applyNumberFormat="1" applyFill="1" applyBorder="1" applyAlignment="1">
      <alignment horizontal="center"/>
    </xf>
    <xf numFmtId="10" fontId="2" fillId="32" borderId="10" xfId="47" applyNumberFormat="1" applyFill="1" applyBorder="1" applyAlignment="1" applyProtection="1">
      <alignment horizontal="center"/>
      <protection locked="0"/>
    </xf>
    <xf numFmtId="10" fontId="32" fillId="31" borderId="20" xfId="47" quotePrefix="1" applyNumberFormat="1" applyFont="1" applyFill="1" applyBorder="1" applyAlignment="1">
      <alignment horizontal="center"/>
    </xf>
    <xf numFmtId="10" fontId="2" fillId="0" borderId="10" xfId="48" applyNumberFormat="1" applyFont="1" applyFill="1" applyBorder="1" applyAlignment="1" applyProtection="1">
      <alignment horizontal="center"/>
      <protection locked="0"/>
    </xf>
    <xf numFmtId="2" fontId="2" fillId="32" borderId="10" xfId="47" applyNumberFormat="1" applyFill="1" applyBorder="1" applyAlignment="1" applyProtection="1">
      <alignment horizontal="center"/>
      <protection locked="0"/>
    </xf>
    <xf numFmtId="165" fontId="1" fillId="31" borderId="0" xfId="47" applyNumberFormat="1" applyFont="1" applyFill="1" applyAlignment="1">
      <alignment horizontal="center"/>
    </xf>
    <xf numFmtId="0" fontId="1" fillId="31" borderId="0" xfId="48" applyNumberFormat="1" applyFont="1" applyFill="1" applyBorder="1" applyAlignment="1" applyProtection="1">
      <alignment horizontal="center"/>
      <protection hidden="1"/>
    </xf>
    <xf numFmtId="10" fontId="32" fillId="31" borderId="20" xfId="47" applyNumberFormat="1" applyFont="1" applyFill="1" applyBorder="1" applyAlignment="1">
      <alignment horizontal="center"/>
    </xf>
    <xf numFmtId="170" fontId="2" fillId="31" borderId="0" xfId="47" applyNumberFormat="1" applyFill="1" applyAlignment="1">
      <alignment horizontal="center"/>
    </xf>
    <xf numFmtId="0" fontId="4" fillId="0" borderId="0" xfId="47" applyFont="1" applyAlignment="1">
      <alignment horizontal="left" indent="1"/>
    </xf>
    <xf numFmtId="10" fontId="2" fillId="32" borderId="10" xfId="48" applyNumberFormat="1" applyFont="1" applyFill="1" applyBorder="1" applyAlignment="1" applyProtection="1">
      <alignment horizontal="center"/>
    </xf>
    <xf numFmtId="1" fontId="4" fillId="31" borderId="0" xfId="47" applyNumberFormat="1" applyFont="1" applyFill="1" applyProtection="1">
      <protection locked="0"/>
    </xf>
    <xf numFmtId="2" fontId="2" fillId="32" borderId="10" xfId="47" applyNumberFormat="1" applyFill="1" applyBorder="1" applyAlignment="1" applyProtection="1">
      <alignment horizontal="center"/>
      <protection hidden="1"/>
    </xf>
    <xf numFmtId="168" fontId="2" fillId="0" borderId="0" xfId="47" applyNumberFormat="1" applyAlignment="1">
      <alignment horizontal="center" vertical="center"/>
    </xf>
    <xf numFmtId="10" fontId="0" fillId="0" borderId="0" xfId="40" applyNumberFormat="1" applyFont="1" applyAlignment="1" applyProtection="1">
      <alignment horizontal="center" vertical="center"/>
    </xf>
    <xf numFmtId="1" fontId="4" fillId="33" borderId="0" xfId="47" applyNumberFormat="1" applyFont="1" applyFill="1"/>
    <xf numFmtId="0" fontId="2" fillId="0" borderId="10" xfId="47" applyBorder="1" applyAlignment="1">
      <alignment horizontal="center"/>
    </xf>
    <xf numFmtId="0" fontId="2" fillId="32" borderId="10" xfId="47" applyFill="1" applyBorder="1" applyAlignment="1">
      <alignment horizontal="center"/>
    </xf>
    <xf numFmtId="1" fontId="2" fillId="0" borderId="18" xfId="47" applyNumberFormat="1" applyBorder="1" applyAlignment="1">
      <alignment horizontal="center" vertical="center" wrapText="1"/>
    </xf>
    <xf numFmtId="0" fontId="4" fillId="0" borderId="0" xfId="47" applyFont="1" applyAlignment="1">
      <alignment horizontal="center"/>
    </xf>
    <xf numFmtId="0" fontId="35" fillId="0" borderId="27" xfId="47" applyFont="1" applyBorder="1" applyAlignment="1" applyProtection="1">
      <alignment horizontal="left" vertical="center" indent="1"/>
      <protection locked="0"/>
    </xf>
    <xf numFmtId="0" fontId="2" fillId="0" borderId="0" xfId="47" applyAlignment="1" applyProtection="1">
      <alignment wrapText="1"/>
      <protection locked="0"/>
    </xf>
    <xf numFmtId="0" fontId="2" fillId="0" borderId="0" xfId="47" applyAlignment="1">
      <alignment horizontal="left" vertical="top"/>
    </xf>
    <xf numFmtId="0" fontId="2" fillId="0" borderId="0" xfId="47" applyAlignment="1">
      <alignment vertical="top"/>
    </xf>
    <xf numFmtId="14" fontId="4" fillId="0" borderId="27" xfId="47" applyNumberFormat="1" applyFont="1" applyBorder="1" applyAlignment="1" applyProtection="1">
      <alignment horizontal="left" vertical="center" wrapText="1" indent="1"/>
      <protection locked="0"/>
    </xf>
    <xf numFmtId="0" fontId="2" fillId="0" borderId="0" xfId="47" applyAlignment="1">
      <alignment wrapText="1"/>
    </xf>
    <xf numFmtId="0" fontId="4" fillId="0" borderId="0" xfId="47" applyFont="1" applyAlignment="1">
      <alignment horizontal="left" wrapText="1"/>
    </xf>
    <xf numFmtId="0" fontId="4" fillId="0" borderId="0" xfId="47" applyFont="1" applyAlignment="1">
      <alignment horizontal="center" wrapText="1"/>
    </xf>
    <xf numFmtId="0" fontId="4" fillId="0" borderId="0" xfId="47" applyFont="1" applyAlignment="1">
      <alignment wrapText="1"/>
    </xf>
    <xf numFmtId="0" fontId="4" fillId="0" borderId="0" xfId="47" applyFont="1" applyAlignment="1">
      <alignment horizontal="left"/>
    </xf>
    <xf numFmtId="0" fontId="2" fillId="0" borderId="0" xfId="47" applyAlignment="1">
      <alignment horizontal="center" vertical="center" wrapText="1"/>
    </xf>
    <xf numFmtId="49" fontId="4" fillId="25" borderId="10" xfId="47" applyNumberFormat="1" applyFont="1" applyFill="1" applyBorder="1" applyAlignment="1">
      <alignment horizontal="center" vertical="center" wrapText="1"/>
    </xf>
    <xf numFmtId="0" fontId="4" fillId="25" borderId="10" xfId="47" applyFont="1" applyFill="1" applyBorder="1" applyAlignment="1">
      <alignment horizontal="center" vertical="center" wrapText="1"/>
    </xf>
    <xf numFmtId="0" fontId="4" fillId="25" borderId="11" xfId="47" applyFont="1" applyFill="1" applyBorder="1" applyAlignment="1">
      <alignment horizontal="center" vertical="center" wrapText="1"/>
    </xf>
    <xf numFmtId="0" fontId="4" fillId="28" borderId="11" xfId="47" applyFont="1" applyFill="1" applyBorder="1" applyAlignment="1">
      <alignment horizontal="center" vertical="center" wrapText="1"/>
    </xf>
    <xf numFmtId="0" fontId="4" fillId="28" borderId="10" xfId="47" applyFont="1" applyFill="1" applyBorder="1" applyAlignment="1">
      <alignment horizontal="center" vertical="center" wrapText="1"/>
    </xf>
    <xf numFmtId="2" fontId="2" fillId="0" borderId="0" xfId="47" applyNumberFormat="1" applyAlignment="1">
      <alignment horizontal="center" vertical="center"/>
    </xf>
    <xf numFmtId="49" fontId="4" fillId="28" borderId="10" xfId="47" applyNumberFormat="1" applyFont="1" applyFill="1" applyBorder="1" applyAlignment="1">
      <alignment horizontal="center" vertical="center" wrapText="1"/>
    </xf>
    <xf numFmtId="0" fontId="22" fillId="25" borderId="14" xfId="47" applyFont="1" applyFill="1" applyBorder="1" applyAlignment="1">
      <alignment horizontal="center" vertical="center" wrapText="1"/>
    </xf>
    <xf numFmtId="0" fontId="22" fillId="25" borderId="17" xfId="47" applyFont="1" applyFill="1" applyBorder="1" applyAlignment="1">
      <alignment horizontal="center" vertical="center" wrapText="1"/>
    </xf>
    <xf numFmtId="2" fontId="2" fillId="0" borderId="11" xfId="47" applyNumberFormat="1" applyBorder="1" applyAlignment="1">
      <alignment horizontal="center" vertical="center"/>
    </xf>
    <xf numFmtId="2" fontId="2" fillId="0" borderId="10" xfId="47" applyNumberFormat="1" applyBorder="1" applyAlignment="1">
      <alignment horizontal="center" vertical="center"/>
    </xf>
    <xf numFmtId="0" fontId="2" fillId="0" borderId="0" xfId="47" applyAlignment="1" applyProtection="1">
      <alignment horizontal="center" wrapText="1"/>
      <protection locked="0"/>
    </xf>
    <xf numFmtId="10" fontId="0" fillId="0" borderId="10" xfId="40" applyNumberFormat="1" applyFont="1" applyBorder="1" applyAlignment="1" applyProtection="1">
      <alignment horizontal="left" vertical="top" wrapText="1"/>
      <protection locked="0"/>
    </xf>
    <xf numFmtId="0" fontId="2" fillId="0" borderId="11" xfId="47" applyBorder="1" applyAlignment="1" applyProtection="1">
      <alignment horizontal="center" vertical="center" wrapText="1"/>
      <protection locked="0"/>
    </xf>
    <xf numFmtId="9" fontId="35" fillId="0" borderId="10" xfId="40" applyFont="1" applyBorder="1" applyAlignment="1" applyProtection="1">
      <alignment horizontal="center" vertical="center" wrapText="1"/>
      <protection locked="0"/>
    </xf>
    <xf numFmtId="0" fontId="4" fillId="0" borderId="10" xfId="47" applyFont="1" applyBorder="1" applyAlignment="1" applyProtection="1">
      <alignment horizontal="center" vertical="center" wrapText="1"/>
      <protection locked="0"/>
    </xf>
    <xf numFmtId="2" fontId="0" fillId="0" borderId="10" xfId="40" applyNumberFormat="1" applyFont="1" applyBorder="1" applyAlignment="1" applyProtection="1">
      <alignment horizontal="center" vertical="center"/>
    </xf>
    <xf numFmtId="9" fontId="35" fillId="0" borderId="0" xfId="40" applyFont="1" applyBorder="1" applyAlignment="1" applyProtection="1">
      <alignment horizontal="left" vertical="center" wrapText="1" indent="1"/>
      <protection hidden="1"/>
    </xf>
    <xf numFmtId="9" fontId="35" fillId="0" borderId="0" xfId="40" applyFont="1" applyBorder="1" applyAlignment="1" applyProtection="1">
      <alignment horizontal="left" vertical="center" wrapText="1" indent="1"/>
      <protection locked="0"/>
    </xf>
    <xf numFmtId="0" fontId="4" fillId="0" borderId="0" xfId="47" applyFont="1" applyAlignment="1" applyProtection="1">
      <alignment horizontal="left" vertical="center" wrapText="1" indent="1"/>
      <protection locked="0"/>
    </xf>
    <xf numFmtId="0" fontId="23" fillId="29" borderId="30" xfId="47" applyFont="1" applyFill="1" applyBorder="1" applyAlignment="1">
      <alignment horizontal="center" vertical="center" wrapText="1"/>
    </xf>
    <xf numFmtId="164" fontId="4" fillId="0" borderId="0" xfId="47" applyNumberFormat="1" applyFont="1" applyAlignment="1">
      <alignment horizontal="center" vertical="center"/>
    </xf>
    <xf numFmtId="0" fontId="4" fillId="0" borderId="19" xfId="47" applyFont="1" applyBorder="1" applyAlignment="1">
      <alignment horizontal="center" vertical="center"/>
    </xf>
    <xf numFmtId="49" fontId="2" fillId="0" borderId="0" xfId="47" applyNumberFormat="1" applyAlignment="1" applyProtection="1">
      <alignment horizontal="center"/>
      <protection locked="0"/>
    </xf>
    <xf numFmtId="49" fontId="2" fillId="0" borderId="0" xfId="47" applyNumberFormat="1" applyAlignment="1">
      <alignment horizontal="center"/>
    </xf>
    <xf numFmtId="49" fontId="4" fillId="0" borderId="0" xfId="47" applyNumberFormat="1" applyFont="1" applyAlignment="1">
      <alignment horizontal="left"/>
    </xf>
    <xf numFmtId="10" fontId="2" fillId="0" borderId="0" xfId="40" applyNumberFormat="1" applyAlignment="1" applyProtection="1">
      <alignment horizontal="center"/>
      <protection locked="0"/>
    </xf>
    <xf numFmtId="10" fontId="2" fillId="0" borderId="0" xfId="40" applyNumberFormat="1" applyAlignment="1" applyProtection="1">
      <alignment horizontal="center"/>
    </xf>
    <xf numFmtId="10" fontId="2" fillId="0" borderId="10" xfId="40" applyNumberFormat="1" applyBorder="1" applyAlignment="1" applyProtection="1">
      <alignment horizontal="center" vertical="center"/>
      <protection locked="0"/>
    </xf>
    <xf numFmtId="0" fontId="36" fillId="0" borderId="0" xfId="0" applyFont="1" applyAlignment="1" applyProtection="1">
      <alignment horizontal="left" vertical="center" indent="1"/>
      <protection hidden="1"/>
    </xf>
    <xf numFmtId="49" fontId="22" fillId="0" borderId="30" xfId="47" applyNumberFormat="1" applyFont="1" applyBorder="1" applyAlignment="1" applyProtection="1">
      <alignment horizontal="center" wrapText="1"/>
      <protection locked="0"/>
    </xf>
    <xf numFmtId="49" fontId="22" fillId="0" borderId="31" xfId="47" applyNumberFormat="1" applyFont="1" applyBorder="1" applyAlignment="1" applyProtection="1">
      <alignment horizontal="center" wrapText="1"/>
      <protection locked="0"/>
    </xf>
    <xf numFmtId="49" fontId="22" fillId="0" borderId="0" xfId="47" applyNumberFormat="1" applyFont="1" applyAlignment="1" applyProtection="1">
      <alignment horizontal="center" wrapText="1"/>
      <protection locked="0"/>
    </xf>
    <xf numFmtId="49" fontId="22" fillId="0" borderId="20" xfId="47" applyNumberFormat="1" applyFont="1" applyBorder="1" applyAlignment="1" applyProtection="1">
      <alignment horizontal="center" wrapText="1"/>
      <protection locked="0"/>
    </xf>
    <xf numFmtId="49" fontId="22" fillId="0" borderId="19" xfId="47" applyNumberFormat="1" applyFont="1" applyBorder="1" applyAlignment="1" applyProtection="1">
      <alignment horizontal="center" wrapText="1"/>
      <protection locked="0"/>
    </xf>
    <xf numFmtId="49" fontId="22" fillId="0" borderId="21" xfId="47" applyNumberFormat="1" applyFont="1" applyBorder="1" applyAlignment="1" applyProtection="1">
      <alignment horizontal="center" wrapText="1"/>
      <protection locked="0"/>
    </xf>
    <xf numFmtId="10" fontId="4" fillId="0" borderId="0" xfId="49" applyNumberFormat="1" applyFont="1" applyFill="1" applyBorder="1" applyAlignment="1" applyProtection="1">
      <alignment horizontal="left" vertical="center" indent="2"/>
      <protection locked="0"/>
    </xf>
    <xf numFmtId="0" fontId="2" fillId="0" borderId="42" xfId="47" applyBorder="1" applyAlignment="1" applyProtection="1">
      <alignment horizontal="center" vertical="center" wrapText="1"/>
      <protection locked="0"/>
    </xf>
    <xf numFmtId="0" fontId="2" fillId="0" borderId="11" xfId="47" applyBorder="1" applyAlignment="1">
      <alignment horizontal="center" vertical="center"/>
    </xf>
    <xf numFmtId="10" fontId="4" fillId="0" borderId="35" xfId="49" applyNumberFormat="1" applyFont="1" applyFill="1" applyBorder="1" applyAlignment="1" applyProtection="1">
      <alignment horizontal="center" vertical="center"/>
      <protection locked="0"/>
    </xf>
    <xf numFmtId="10" fontId="4" fillId="0" borderId="10" xfId="48" applyNumberFormat="1" applyFont="1" applyFill="1" applyBorder="1" applyAlignment="1" applyProtection="1">
      <alignment horizontal="center" vertical="center"/>
      <protection locked="0"/>
    </xf>
    <xf numFmtId="0" fontId="22" fillId="24" borderId="18" xfId="47" applyFont="1" applyFill="1" applyBorder="1" applyAlignment="1">
      <alignment horizontal="right" vertical="center" wrapText="1" indent="1"/>
    </xf>
    <xf numFmtId="0" fontId="22" fillId="24" borderId="10" xfId="47" applyFont="1" applyFill="1" applyBorder="1" applyAlignment="1">
      <alignment horizontal="right" vertical="center" wrapText="1" indent="1"/>
    </xf>
    <xf numFmtId="49" fontId="4" fillId="33" borderId="0" xfId="47" applyNumberFormat="1" applyFont="1" applyFill="1" applyAlignment="1" applyProtection="1">
      <alignment horizontal="left" vertical="center" indent="1"/>
      <protection hidden="1"/>
    </xf>
    <xf numFmtId="0" fontId="2" fillId="0" borderId="10" xfId="47" applyBorder="1" applyAlignment="1" applyProtection="1">
      <alignment horizontal="center"/>
      <protection locked="0"/>
    </xf>
    <xf numFmtId="165" fontId="2" fillId="0" borderId="18" xfId="47" applyNumberFormat="1" applyBorder="1" applyAlignment="1" applyProtection="1">
      <alignment horizontal="center" vertical="center"/>
      <protection locked="0"/>
    </xf>
    <xf numFmtId="165" fontId="3" fillId="0" borderId="18" xfId="44" applyNumberFormat="1" applyBorder="1" applyAlignment="1" applyProtection="1">
      <alignment horizontal="center" vertical="center"/>
      <protection locked="0"/>
    </xf>
    <xf numFmtId="0" fontId="22" fillId="24" borderId="18" xfId="47" applyFont="1" applyFill="1" applyBorder="1" applyAlignment="1">
      <alignment horizontal="right" vertical="center" wrapText="1" indent="1"/>
    </xf>
    <xf numFmtId="171" fontId="2" fillId="0" borderId="11" xfId="47" applyNumberFormat="1" applyBorder="1" applyAlignment="1" applyProtection="1">
      <alignment horizontal="left" vertical="center" indent="1"/>
      <protection locked="0"/>
    </xf>
    <xf numFmtId="171" fontId="2" fillId="0" borderId="12" xfId="47" applyNumberFormat="1" applyBorder="1" applyAlignment="1" applyProtection="1">
      <alignment horizontal="left" vertical="center" indent="1"/>
      <protection locked="0"/>
    </xf>
    <xf numFmtId="171" fontId="2" fillId="0" borderId="13" xfId="47" applyNumberFormat="1" applyBorder="1" applyAlignment="1" applyProtection="1">
      <alignment horizontal="left" vertical="center" indent="1"/>
      <protection locked="0"/>
    </xf>
    <xf numFmtId="49" fontId="22" fillId="26" borderId="14" xfId="47" applyNumberFormat="1" applyFont="1" applyFill="1" applyBorder="1" applyAlignment="1">
      <alignment horizontal="right" vertical="top" wrapText="1" indent="1"/>
    </xf>
    <xf numFmtId="49" fontId="22" fillId="26" borderId="15" xfId="47" applyNumberFormat="1" applyFont="1" applyFill="1" applyBorder="1" applyAlignment="1">
      <alignment horizontal="right" vertical="top" wrapText="1" indent="1"/>
    </xf>
    <xf numFmtId="49" fontId="22" fillId="26" borderId="27" xfId="47" applyNumberFormat="1" applyFont="1" applyFill="1" applyBorder="1" applyAlignment="1">
      <alignment horizontal="right" vertical="top" wrapText="1" indent="1"/>
    </xf>
    <xf numFmtId="49" fontId="22" fillId="26" borderId="0" xfId="47" applyNumberFormat="1" applyFont="1" applyFill="1" applyAlignment="1">
      <alignment horizontal="right" vertical="top" wrapText="1" indent="1"/>
    </xf>
    <xf numFmtId="49" fontId="22" fillId="26" borderId="23" xfId="47" applyNumberFormat="1" applyFont="1" applyFill="1" applyBorder="1" applyAlignment="1">
      <alignment horizontal="right" vertical="top" wrapText="1" indent="1"/>
    </xf>
    <xf numFmtId="49" fontId="22" fillId="26" borderId="19" xfId="47" applyNumberFormat="1" applyFont="1" applyFill="1" applyBorder="1" applyAlignment="1">
      <alignment horizontal="right" vertical="top" wrapText="1" indent="1"/>
    </xf>
    <xf numFmtId="49" fontId="2" fillId="0" borderId="14" xfId="47" applyNumberFormat="1" applyBorder="1" applyAlignment="1" applyProtection="1">
      <alignment horizontal="left" vertical="top" wrapText="1" indent="1"/>
      <protection locked="0"/>
    </xf>
    <xf numFmtId="49" fontId="2" fillId="0" borderId="15" xfId="47" applyNumberFormat="1" applyBorder="1" applyAlignment="1" applyProtection="1">
      <alignment horizontal="left" vertical="top" wrapText="1" indent="1"/>
      <protection locked="0"/>
    </xf>
    <xf numFmtId="49" fontId="2" fillId="0" borderId="16" xfId="47" applyNumberFormat="1" applyBorder="1" applyAlignment="1" applyProtection="1">
      <alignment horizontal="left" vertical="top" wrapText="1" indent="1"/>
      <protection locked="0"/>
    </xf>
    <xf numFmtId="49" fontId="2" fillId="0" borderId="27" xfId="47" applyNumberFormat="1" applyBorder="1" applyAlignment="1" applyProtection="1">
      <alignment horizontal="left" vertical="top" wrapText="1" indent="1"/>
      <protection locked="0"/>
    </xf>
    <xf numFmtId="49" fontId="2" fillId="0" borderId="0" xfId="47" applyNumberFormat="1" applyAlignment="1" applyProtection="1">
      <alignment horizontal="left" vertical="top" wrapText="1" indent="1"/>
      <protection locked="0"/>
    </xf>
    <xf numFmtId="49" fontId="2" fillId="0" borderId="20" xfId="47" applyNumberFormat="1" applyBorder="1" applyAlignment="1" applyProtection="1">
      <alignment horizontal="left" vertical="top" wrapText="1" indent="1"/>
      <protection locked="0"/>
    </xf>
    <xf numFmtId="49" fontId="2" fillId="0" borderId="23" xfId="47" applyNumberFormat="1" applyBorder="1" applyAlignment="1" applyProtection="1">
      <alignment horizontal="left" vertical="top" wrapText="1" indent="1"/>
      <protection locked="0"/>
    </xf>
    <xf numFmtId="49" fontId="2" fillId="0" borderId="19" xfId="47" applyNumberFormat="1" applyBorder="1" applyAlignment="1" applyProtection="1">
      <alignment horizontal="left" vertical="top" wrapText="1" indent="1"/>
      <protection locked="0"/>
    </xf>
    <xf numFmtId="49" fontId="2" fillId="0" borderId="21" xfId="47" applyNumberFormat="1" applyBorder="1" applyAlignment="1" applyProtection="1">
      <alignment horizontal="left" vertical="top" wrapText="1" indent="1"/>
      <protection locked="0"/>
    </xf>
    <xf numFmtId="0" fontId="26" fillId="25" borderId="24" xfId="47" applyFont="1" applyFill="1" applyBorder="1" applyAlignment="1">
      <alignment horizontal="center"/>
    </xf>
    <xf numFmtId="0" fontId="26" fillId="25" borderId="25" xfId="47" applyFont="1" applyFill="1" applyBorder="1" applyAlignment="1">
      <alignment horizontal="center"/>
    </xf>
    <xf numFmtId="0" fontId="26" fillId="25" borderId="15" xfId="47" applyFont="1" applyFill="1" applyBorder="1" applyAlignment="1">
      <alignment horizontal="center"/>
    </xf>
    <xf numFmtId="0" fontId="26" fillId="25" borderId="16" xfId="47" applyFont="1" applyFill="1" applyBorder="1" applyAlignment="1">
      <alignment horizontal="center"/>
    </xf>
    <xf numFmtId="0" fontId="4" fillId="0" borderId="11" xfId="47" applyFont="1" applyBorder="1" applyAlignment="1" applyProtection="1">
      <alignment horizontal="left" vertical="center" indent="1"/>
      <protection locked="0"/>
    </xf>
    <xf numFmtId="0" fontId="4" fillId="0" borderId="12" xfId="47" applyFont="1" applyBorder="1" applyAlignment="1" applyProtection="1">
      <alignment horizontal="left" vertical="center" indent="1"/>
      <protection locked="0"/>
    </xf>
    <xf numFmtId="0" fontId="4" fillId="0" borderId="13" xfId="47" applyFont="1" applyBorder="1" applyAlignment="1" applyProtection="1">
      <alignment horizontal="left" vertical="center" indent="1"/>
      <protection locked="0"/>
    </xf>
    <xf numFmtId="0" fontId="22" fillId="24" borderId="10" xfId="47" applyFont="1" applyFill="1" applyBorder="1" applyAlignment="1">
      <alignment horizontal="right" vertical="center" wrapText="1" indent="1"/>
    </xf>
    <xf numFmtId="0" fontId="2" fillId="0" borderId="11" xfId="47" applyBorder="1" applyAlignment="1" applyProtection="1">
      <alignment horizontal="left" vertical="center" indent="1"/>
      <protection locked="0"/>
    </xf>
    <xf numFmtId="0" fontId="2" fillId="0" borderId="12" xfId="47" applyBorder="1" applyAlignment="1" applyProtection="1">
      <alignment horizontal="left" vertical="center" indent="1"/>
      <protection locked="0"/>
    </xf>
    <xf numFmtId="0" fontId="2" fillId="0" borderId="13" xfId="47" applyBorder="1" applyAlignment="1" applyProtection="1">
      <alignment horizontal="left" vertical="center" indent="1"/>
      <protection locked="0"/>
    </xf>
    <xf numFmtId="0" fontId="26" fillId="0" borderId="0" xfId="47" applyFont="1" applyAlignment="1">
      <alignment horizontal="center" vertical="center"/>
    </xf>
    <xf numFmtId="0" fontId="35" fillId="0" borderId="11" xfId="47" applyFont="1" applyBorder="1" applyAlignment="1" applyProtection="1">
      <alignment horizontal="left" vertical="center" wrapText="1" indent="1"/>
      <protection hidden="1"/>
    </xf>
    <xf numFmtId="0" fontId="35" fillId="0" borderId="12" xfId="47" applyFont="1" applyBorder="1" applyAlignment="1" applyProtection="1">
      <alignment horizontal="left" vertical="center" wrapText="1" indent="1"/>
      <protection hidden="1"/>
    </xf>
    <xf numFmtId="0" fontId="35" fillId="0" borderId="13" xfId="47" applyFont="1" applyBorder="1" applyAlignment="1" applyProtection="1">
      <alignment horizontal="left" vertical="center" wrapText="1" indent="1"/>
      <protection hidden="1"/>
    </xf>
    <xf numFmtId="0" fontId="35" fillId="0" borderId="11" xfId="47" applyFont="1" applyBorder="1" applyAlignment="1" applyProtection="1">
      <alignment horizontal="left" vertical="center" wrapText="1" indent="1"/>
      <protection locked="0"/>
    </xf>
    <xf numFmtId="0" fontId="35" fillId="0" borderId="12" xfId="47" applyFont="1" applyBorder="1" applyAlignment="1" applyProtection="1">
      <alignment horizontal="left" vertical="center" wrapText="1" indent="1"/>
      <protection locked="0"/>
    </xf>
    <xf numFmtId="0" fontId="35" fillId="0" borderId="13" xfId="47" applyFont="1" applyBorder="1" applyAlignment="1" applyProtection="1">
      <alignment horizontal="left" vertical="center" wrapText="1" indent="1"/>
      <protection locked="0"/>
    </xf>
    <xf numFmtId="0" fontId="22" fillId="24" borderId="17" xfId="47" applyFont="1" applyFill="1" applyBorder="1" applyAlignment="1">
      <alignment horizontal="right" vertical="center" wrapText="1" indent="1"/>
    </xf>
    <xf numFmtId="0" fontId="35" fillId="0" borderId="10" xfId="40" applyNumberFormat="1" applyFont="1" applyBorder="1" applyAlignment="1" applyProtection="1">
      <alignment horizontal="center" vertical="center" wrapText="1"/>
      <protection locked="0"/>
    </xf>
    <xf numFmtId="171" fontId="4" fillId="0" borderId="11" xfId="47" applyNumberFormat="1" applyFont="1" applyBorder="1" applyAlignment="1" applyProtection="1">
      <alignment horizontal="left" vertical="center" wrapText="1" indent="1"/>
      <protection locked="0"/>
    </xf>
    <xf numFmtId="171" fontId="4" fillId="0" borderId="12" xfId="47" applyNumberFormat="1" applyFont="1" applyBorder="1" applyAlignment="1" applyProtection="1">
      <alignment horizontal="left" vertical="center" wrapText="1" indent="1"/>
      <protection locked="0"/>
    </xf>
    <xf numFmtId="171" fontId="4" fillId="0" borderId="13" xfId="47" applyNumberFormat="1" applyFont="1" applyBorder="1" applyAlignment="1" applyProtection="1">
      <alignment horizontal="left" vertical="center" wrapText="1" indent="1"/>
      <protection locked="0"/>
    </xf>
    <xf numFmtId="0" fontId="23" fillId="27" borderId="11" xfId="47" applyFont="1" applyFill="1" applyBorder="1" applyAlignment="1">
      <alignment horizontal="center" vertical="center" wrapText="1"/>
    </xf>
    <xf numFmtId="0" fontId="23" fillId="27" borderId="12" xfId="47" applyFont="1" applyFill="1" applyBorder="1" applyAlignment="1">
      <alignment horizontal="center" vertical="center" wrapText="1"/>
    </xf>
    <xf numFmtId="0" fontId="23" fillId="27" borderId="13" xfId="47" applyFont="1" applyFill="1" applyBorder="1" applyAlignment="1">
      <alignment horizontal="center" vertical="center" wrapText="1"/>
    </xf>
    <xf numFmtId="0" fontId="22" fillId="24" borderId="23" xfId="47" applyFont="1" applyFill="1" applyBorder="1" applyAlignment="1">
      <alignment horizontal="center" vertical="center" wrapText="1"/>
    </xf>
    <xf numFmtId="0" fontId="22" fillId="24" borderId="21" xfId="47" applyFont="1" applyFill="1" applyBorder="1" applyAlignment="1">
      <alignment horizontal="center" vertical="center" wrapText="1"/>
    </xf>
    <xf numFmtId="0" fontId="23" fillId="25" borderId="10" xfId="47" applyFont="1" applyFill="1" applyBorder="1" applyAlignment="1">
      <alignment horizontal="center" vertical="center" wrapText="1"/>
    </xf>
    <xf numFmtId="0" fontId="4" fillId="26" borderId="11" xfId="47" applyFont="1" applyFill="1" applyBorder="1" applyAlignment="1">
      <alignment horizontal="center"/>
    </xf>
    <xf numFmtId="0" fontId="4" fillId="26" borderId="12" xfId="47" applyFont="1" applyFill="1" applyBorder="1" applyAlignment="1">
      <alignment horizontal="center"/>
    </xf>
    <xf numFmtId="0" fontId="4" fillId="26" borderId="13" xfId="47" applyFont="1" applyFill="1" applyBorder="1" applyAlignment="1">
      <alignment horizontal="center"/>
    </xf>
    <xf numFmtId="0" fontId="2" fillId="0" borderId="0" xfId="47"/>
    <xf numFmtId="0" fontId="29" fillId="0" borderId="24" xfId="47" applyFont="1" applyBorder="1" applyAlignment="1">
      <alignment horizontal="right" vertical="center" wrapText="1" indent="1"/>
    </xf>
    <xf numFmtId="0" fontId="29" fillId="0" borderId="26" xfId="47" applyFont="1" applyBorder="1" applyAlignment="1">
      <alignment horizontal="right" vertical="center" wrapText="1" indent="1"/>
    </xf>
    <xf numFmtId="0" fontId="23" fillId="25" borderId="29" xfId="47" applyFont="1" applyFill="1" applyBorder="1" applyAlignment="1">
      <alignment horizontal="center" vertical="center" wrapText="1"/>
    </xf>
    <xf numFmtId="0" fontId="23" fillId="25" borderId="32" xfId="47" applyFont="1" applyFill="1" applyBorder="1" applyAlignment="1">
      <alignment horizontal="center" vertical="center" wrapText="1"/>
    </xf>
    <xf numFmtId="0" fontId="22" fillId="24" borderId="11" xfId="47" applyFont="1" applyFill="1" applyBorder="1" applyAlignment="1">
      <alignment horizontal="right" vertical="center" indent="1"/>
    </xf>
    <xf numFmtId="0" fontId="22" fillId="24" borderId="13" xfId="47" applyFont="1" applyFill="1" applyBorder="1" applyAlignment="1">
      <alignment horizontal="right" vertical="center" indent="1"/>
    </xf>
    <xf numFmtId="0" fontId="2" fillId="0" borderId="11" xfId="47" applyBorder="1" applyAlignment="1">
      <alignment horizontal="right" vertical="center"/>
    </xf>
    <xf numFmtId="0" fontId="2" fillId="0" borderId="12" xfId="47" applyBorder="1" applyAlignment="1">
      <alignment horizontal="right" vertical="center"/>
    </xf>
    <xf numFmtId="0" fontId="22" fillId="24" borderId="11" xfId="47" applyFont="1" applyFill="1" applyBorder="1" applyAlignment="1">
      <alignment horizontal="center" vertical="center" wrapText="1"/>
    </xf>
    <xf numFmtId="0" fontId="22" fillId="24" borderId="13" xfId="47" applyFont="1" applyFill="1" applyBorder="1" applyAlignment="1">
      <alignment horizontal="center" vertical="center" wrapText="1"/>
    </xf>
    <xf numFmtId="0" fontId="23" fillId="27" borderId="10" xfId="47" applyFont="1" applyFill="1" applyBorder="1" applyAlignment="1">
      <alignment horizontal="center" vertical="center" wrapText="1"/>
    </xf>
    <xf numFmtId="0" fontId="22" fillId="24" borderId="11" xfId="47" applyFont="1" applyFill="1" applyBorder="1" applyAlignment="1">
      <alignment horizontal="right" vertical="center" wrapText="1" indent="1"/>
    </xf>
    <xf numFmtId="0" fontId="22" fillId="24" borderId="13" xfId="47" applyFont="1" applyFill="1" applyBorder="1" applyAlignment="1">
      <alignment horizontal="right" vertical="center" wrapText="1" indent="1"/>
    </xf>
    <xf numFmtId="0" fontId="2" fillId="0" borderId="36" xfId="47" quotePrefix="1" applyBorder="1" applyAlignment="1">
      <alignment horizontal="left" vertical="center" indent="1"/>
    </xf>
    <xf numFmtId="0" fontId="2" fillId="0" borderId="37" xfId="47" quotePrefix="1" applyBorder="1" applyAlignment="1">
      <alignment horizontal="left" vertical="center" indent="1"/>
    </xf>
    <xf numFmtId="0" fontId="2" fillId="0" borderId="37" xfId="47" applyBorder="1" applyAlignment="1">
      <alignment horizontal="left" vertical="center" indent="1"/>
    </xf>
    <xf numFmtId="0" fontId="2" fillId="0" borderId="38" xfId="47" applyBorder="1" applyAlignment="1">
      <alignment horizontal="left" vertical="center" indent="1"/>
    </xf>
    <xf numFmtId="0" fontId="2" fillId="0" borderId="36" xfId="47" applyBorder="1" applyAlignment="1">
      <alignment horizontal="left" vertical="center" indent="1"/>
    </xf>
    <xf numFmtId="49" fontId="4" fillId="26" borderId="11" xfId="47" applyNumberFormat="1" applyFont="1" applyFill="1" applyBorder="1" applyAlignment="1">
      <alignment horizontal="right" vertical="top" wrapText="1" indent="1"/>
    </xf>
    <xf numFmtId="49" fontId="4" fillId="26" borderId="13" xfId="47" applyNumberFormat="1" applyFont="1" applyFill="1" applyBorder="1" applyAlignment="1">
      <alignment horizontal="right" vertical="top" wrapText="1" indent="1"/>
    </xf>
    <xf numFmtId="49" fontId="2" fillId="0" borderId="39" xfId="47" applyNumberFormat="1" applyBorder="1" applyAlignment="1" applyProtection="1">
      <alignment horizontal="left" vertical="top" wrapText="1" indent="1"/>
      <protection locked="0"/>
    </xf>
    <xf numFmtId="49" fontId="2" fillId="0" borderId="40" xfId="47" applyNumberFormat="1" applyBorder="1" applyAlignment="1" applyProtection="1">
      <alignment horizontal="left" vertical="top" wrapText="1" indent="1"/>
      <protection locked="0"/>
    </xf>
    <xf numFmtId="49" fontId="2" fillId="0" borderId="41" xfId="47" applyNumberFormat="1" applyBorder="1" applyAlignment="1" applyProtection="1">
      <alignment horizontal="left" vertical="top" wrapText="1" indent="1"/>
      <protection locked="0"/>
    </xf>
    <xf numFmtId="18" fontId="2" fillId="0" borderId="36" xfId="47" quotePrefix="1" applyNumberFormat="1" applyBorder="1" applyAlignment="1">
      <alignment horizontal="left" vertical="center" indent="1"/>
    </xf>
    <xf numFmtId="18" fontId="2" fillId="0" borderId="37" xfId="47" quotePrefix="1" applyNumberFormat="1" applyBorder="1" applyAlignment="1">
      <alignment horizontal="left" vertical="center" indent="1"/>
    </xf>
    <xf numFmtId="14" fontId="2" fillId="0" borderId="36" xfId="47" applyNumberFormat="1" applyBorder="1" applyAlignment="1">
      <alignment horizontal="left" vertical="center" indent="1"/>
    </xf>
    <xf numFmtId="14" fontId="2" fillId="0" borderId="37" xfId="47" applyNumberFormat="1" applyBorder="1" applyAlignment="1">
      <alignment horizontal="left" vertical="center" indent="1"/>
    </xf>
    <xf numFmtId="0" fontId="22" fillId="24" borderId="29" xfId="47" applyFont="1" applyFill="1" applyBorder="1" applyAlignment="1">
      <alignment horizontal="right" vertical="center" wrapText="1" indent="1"/>
    </xf>
    <xf numFmtId="0" fontId="26" fillId="25" borderId="24" xfId="47" applyFont="1" applyFill="1" applyBorder="1" applyAlignment="1">
      <alignment horizontal="center" vertical="center"/>
    </xf>
    <xf numFmtId="0" fontId="26" fillId="25" borderId="25" xfId="47" applyFont="1" applyFill="1" applyBorder="1" applyAlignment="1">
      <alignment horizontal="center" vertical="center"/>
    </xf>
    <xf numFmtId="0" fontId="26" fillId="25" borderId="26" xfId="47" applyFont="1" applyFill="1" applyBorder="1" applyAlignment="1">
      <alignment horizontal="center" vertical="center"/>
    </xf>
    <xf numFmtId="0" fontId="4" fillId="0" borderId="36" xfId="47" applyFont="1" applyBorder="1" applyAlignment="1">
      <alignment horizontal="left" vertical="center" wrapText="1" indent="1"/>
    </xf>
    <xf numFmtId="0" fontId="4" fillId="0" borderId="37" xfId="47" applyFont="1" applyBorder="1" applyAlignment="1">
      <alignment horizontal="left" vertical="center" wrapText="1" indent="1"/>
    </xf>
    <xf numFmtId="0" fontId="4" fillId="0" borderId="37" xfId="47" applyFont="1" applyBorder="1" applyAlignment="1">
      <alignment horizontal="left" vertical="center" indent="1"/>
    </xf>
    <xf numFmtId="0" fontId="4" fillId="0" borderId="38" xfId="47" applyFont="1" applyBorder="1" applyAlignment="1">
      <alignment horizontal="left" vertical="center" indent="1"/>
    </xf>
    <xf numFmtId="49" fontId="22" fillId="0" borderId="30" xfId="47" applyNumberFormat="1" applyFont="1" applyBorder="1" applyAlignment="1" applyProtection="1">
      <alignment horizontal="center" wrapText="1"/>
      <protection locked="0"/>
    </xf>
    <xf numFmtId="49" fontId="22" fillId="0" borderId="31" xfId="47" applyNumberFormat="1" applyFont="1" applyBorder="1" applyAlignment="1" applyProtection="1">
      <alignment horizontal="center" wrapText="1"/>
      <protection locked="0"/>
    </xf>
    <xf numFmtId="49" fontId="22" fillId="0" borderId="0" xfId="47" applyNumberFormat="1" applyFont="1" applyAlignment="1" applyProtection="1">
      <alignment horizontal="center" wrapText="1"/>
      <protection locked="0"/>
    </xf>
    <xf numFmtId="49" fontId="22" fillId="0" borderId="20" xfId="47" applyNumberFormat="1" applyFont="1" applyBorder="1" applyAlignment="1" applyProtection="1">
      <alignment horizontal="center" wrapText="1"/>
      <protection locked="0"/>
    </xf>
    <xf numFmtId="49" fontId="22" fillId="0" borderId="19" xfId="47" applyNumberFormat="1" applyFont="1" applyBorder="1" applyAlignment="1" applyProtection="1">
      <alignment horizontal="center" wrapText="1"/>
      <protection locked="0"/>
    </xf>
    <xf numFmtId="49" fontId="22" fillId="0" borderId="21" xfId="47" applyNumberFormat="1" applyFont="1" applyBorder="1" applyAlignment="1" applyProtection="1">
      <alignment horizontal="center" wrapText="1"/>
      <protection locked="0"/>
    </xf>
    <xf numFmtId="0" fontId="22" fillId="24" borderId="11" xfId="47" applyFont="1" applyFill="1" applyBorder="1" applyAlignment="1" applyProtection="1">
      <alignment horizontal="right" indent="1"/>
      <protection locked="0"/>
    </xf>
    <xf numFmtId="0" fontId="22" fillId="24" borderId="13" xfId="47" applyFont="1" applyFill="1" applyBorder="1" applyAlignment="1" applyProtection="1">
      <alignment horizontal="right" indent="1"/>
      <protection locked="0"/>
    </xf>
    <xf numFmtId="0" fontId="4" fillId="24" borderId="11" xfId="47" applyFont="1" applyFill="1" applyBorder="1" applyAlignment="1">
      <alignment horizontal="right" indent="1"/>
    </xf>
    <xf numFmtId="0" fontId="4" fillId="24" borderId="12" xfId="47" applyFont="1" applyFill="1" applyBorder="1" applyAlignment="1">
      <alignment horizontal="right" indent="1"/>
    </xf>
    <xf numFmtId="0" fontId="4" fillId="24" borderId="13" xfId="47" applyFont="1" applyFill="1" applyBorder="1" applyAlignment="1">
      <alignment horizontal="right" indent="1"/>
    </xf>
    <xf numFmtId="0" fontId="22" fillId="24" borderId="14" xfId="47" applyFont="1" applyFill="1" applyBorder="1" applyAlignment="1">
      <alignment horizontal="center" vertical="center" wrapText="1"/>
    </xf>
    <xf numFmtId="0" fontId="22" fillId="24" borderId="16" xfId="47" applyFont="1" applyFill="1" applyBorder="1" applyAlignment="1">
      <alignment horizontal="center" vertical="center" wrapText="1"/>
    </xf>
    <xf numFmtId="0" fontId="26" fillId="25" borderId="14" xfId="47" applyFont="1" applyFill="1" applyBorder="1" applyAlignment="1">
      <alignment horizontal="center" vertical="center"/>
    </xf>
    <xf numFmtId="0" fontId="26" fillId="25" borderId="15" xfId="47" applyFont="1" applyFill="1" applyBorder="1" applyAlignment="1">
      <alignment horizontal="center" vertical="center"/>
    </xf>
    <xf numFmtId="0" fontId="22" fillId="24" borderId="12" xfId="47" applyFont="1" applyFill="1" applyBorder="1" applyAlignment="1">
      <alignment horizontal="center" vertical="center" wrapText="1"/>
    </xf>
    <xf numFmtId="0" fontId="24" fillId="0" borderId="11" xfId="47" applyFont="1" applyBorder="1" applyAlignment="1" applyProtection="1">
      <alignment horizontal="center" vertical="center" wrapText="1"/>
      <protection locked="0"/>
    </xf>
    <xf numFmtId="0" fontId="22" fillId="0" borderId="12" xfId="47" applyFont="1" applyBorder="1" applyAlignment="1" applyProtection="1">
      <alignment horizontal="center" vertical="center" wrapText="1"/>
      <protection locked="0"/>
    </xf>
    <xf numFmtId="0" fontId="22" fillId="0" borderId="13" xfId="47" applyFont="1" applyBorder="1" applyAlignment="1" applyProtection="1">
      <alignment horizontal="center" vertical="center" wrapText="1"/>
      <protection locked="0"/>
    </xf>
    <xf numFmtId="0" fontId="3" fillId="0" borderId="11" xfId="44" applyBorder="1" applyAlignment="1">
      <alignment horizontal="right" vertical="center"/>
    </xf>
    <xf numFmtId="0" fontId="3" fillId="0" borderId="12" xfId="44" applyBorder="1" applyAlignment="1">
      <alignment horizontal="right" vertical="center"/>
    </xf>
    <xf numFmtId="0" fontId="22" fillId="24" borderId="23" xfId="44" applyFont="1" applyFill="1" applyBorder="1" applyAlignment="1">
      <alignment horizontal="right" vertical="center" wrapText="1"/>
    </xf>
    <xf numFmtId="0" fontId="22" fillId="24" borderId="21" xfId="44" applyFont="1" applyFill="1" applyBorder="1" applyAlignment="1">
      <alignment horizontal="right" vertical="center" wrapText="1"/>
    </xf>
    <xf numFmtId="0" fontId="22" fillId="24" borderId="10" xfId="44" applyFont="1" applyFill="1" applyBorder="1" applyAlignment="1">
      <alignment horizontal="right" vertical="center"/>
    </xf>
    <xf numFmtId="0" fontId="22" fillId="24" borderId="17" xfId="44" applyFont="1" applyFill="1" applyBorder="1" applyAlignment="1">
      <alignment horizontal="right" vertical="center"/>
    </xf>
    <xf numFmtId="0" fontId="22" fillId="24" borderId="27" xfId="44" applyFont="1" applyFill="1" applyBorder="1" applyAlignment="1">
      <alignment horizontal="right" vertical="center" wrapText="1"/>
    </xf>
    <xf numFmtId="0" fontId="22" fillId="24" borderId="20" xfId="44" applyFont="1" applyFill="1" applyBorder="1" applyAlignment="1">
      <alignment horizontal="right" vertical="center" wrapText="1"/>
    </xf>
    <xf numFmtId="0" fontId="23" fillId="25" borderId="18" xfId="44" applyFont="1" applyFill="1" applyBorder="1" applyAlignment="1">
      <alignment horizontal="center" vertical="center" wrapText="1"/>
    </xf>
    <xf numFmtId="0" fontId="22" fillId="24" borderId="11" xfId="44" applyFont="1" applyFill="1" applyBorder="1" applyAlignment="1">
      <alignment horizontal="right" vertical="center"/>
    </xf>
    <xf numFmtId="0" fontId="22" fillId="24" borderId="13" xfId="44" applyFont="1" applyFill="1" applyBorder="1" applyAlignment="1">
      <alignment horizontal="right" vertical="center"/>
    </xf>
    <xf numFmtId="0" fontId="26" fillId="25" borderId="24" xfId="44" applyFont="1" applyFill="1" applyBorder="1" applyAlignment="1">
      <alignment horizontal="center" vertical="center"/>
    </xf>
    <xf numFmtId="0" fontId="26" fillId="25" borderId="25" xfId="44" applyFont="1" applyFill="1" applyBorder="1" applyAlignment="1">
      <alignment horizontal="center" vertical="center"/>
    </xf>
    <xf numFmtId="0" fontId="26" fillId="25" borderId="26" xfId="44" applyFont="1" applyFill="1" applyBorder="1" applyAlignment="1">
      <alignment horizontal="center" vertical="center"/>
    </xf>
    <xf numFmtId="0" fontId="23" fillId="24" borderId="10" xfId="44" applyFont="1" applyFill="1" applyBorder="1" applyAlignment="1">
      <alignment horizontal="center" vertical="center" wrapText="1"/>
    </xf>
    <xf numFmtId="0" fontId="22" fillId="24" borderId="23" xfId="44" applyFont="1" applyFill="1" applyBorder="1" applyAlignment="1">
      <alignment horizontal="center" vertical="center" wrapText="1"/>
    </xf>
    <xf numFmtId="0" fontId="22" fillId="24" borderId="21" xfId="44" applyFont="1" applyFill="1" applyBorder="1" applyAlignment="1">
      <alignment horizontal="center" vertical="center" wrapText="1"/>
    </xf>
    <xf numFmtId="0" fontId="23" fillId="25" borderId="11" xfId="47" applyFont="1" applyFill="1" applyBorder="1" applyAlignment="1">
      <alignment horizontal="center" vertical="center" wrapText="1"/>
    </xf>
    <xf numFmtId="0" fontId="23" fillId="25" borderId="12" xfId="47" applyFont="1" applyFill="1" applyBorder="1" applyAlignment="1">
      <alignment horizontal="center" vertical="center" wrapText="1"/>
    </xf>
    <xf numFmtId="0" fontId="23" fillId="25" borderId="13" xfId="47" applyFont="1" applyFill="1" applyBorder="1" applyAlignment="1">
      <alignment horizontal="center" vertical="center" wrapText="1"/>
    </xf>
    <xf numFmtId="0" fontId="2" fillId="0" borderId="11" xfId="47" applyBorder="1" applyAlignment="1">
      <alignment horizontal="left" vertical="center" indent="1"/>
    </xf>
    <xf numFmtId="0" fontId="2" fillId="0" borderId="12" xfId="47" applyBorder="1" applyAlignment="1">
      <alignment horizontal="left" vertical="center" indent="1"/>
    </xf>
    <xf numFmtId="0" fontId="2" fillId="0" borderId="13" xfId="47" applyBorder="1" applyAlignment="1">
      <alignment horizontal="left" vertical="center" indent="1"/>
    </xf>
    <xf numFmtId="49" fontId="2" fillId="0" borderId="11" xfId="47" applyNumberFormat="1" applyBorder="1" applyAlignment="1" applyProtection="1">
      <alignment horizontal="left" vertical="top" wrapText="1" indent="1"/>
      <protection locked="0"/>
    </xf>
    <xf numFmtId="49" fontId="2" fillId="0" borderId="12" xfId="47" applyNumberFormat="1" applyBorder="1" applyAlignment="1" applyProtection="1">
      <alignment horizontal="left" vertical="top" wrapText="1" indent="1"/>
      <protection locked="0"/>
    </xf>
    <xf numFmtId="49" fontId="2" fillId="0" borderId="13" xfId="47" applyNumberFormat="1" applyBorder="1" applyAlignment="1" applyProtection="1">
      <alignment horizontal="left" vertical="top" wrapText="1" indent="1"/>
      <protection locked="0"/>
    </xf>
    <xf numFmtId="0" fontId="23" fillId="30" borderId="10" xfId="47" applyFont="1" applyFill="1" applyBorder="1" applyAlignment="1">
      <alignment horizontal="center" vertical="center" wrapText="1"/>
    </xf>
    <xf numFmtId="0" fontId="26" fillId="30" borderId="24" xfId="47" applyFont="1" applyFill="1" applyBorder="1" applyAlignment="1">
      <alignment horizontal="center" wrapText="1"/>
    </xf>
    <xf numFmtId="0" fontId="26" fillId="30" borderId="25" xfId="47" applyFont="1" applyFill="1" applyBorder="1" applyAlignment="1">
      <alignment horizontal="center"/>
    </xf>
    <xf numFmtId="0" fontId="26" fillId="30" borderId="15" xfId="47" applyFont="1" applyFill="1" applyBorder="1" applyAlignment="1">
      <alignment horizontal="center"/>
    </xf>
    <xf numFmtId="0" fontId="26" fillId="30" borderId="16" xfId="47" applyFont="1" applyFill="1" applyBorder="1" applyAlignment="1">
      <alignment horizontal="center"/>
    </xf>
    <xf numFmtId="0" fontId="4" fillId="0" borderId="11" xfId="47" applyFont="1" applyBorder="1" applyAlignment="1">
      <alignment horizontal="left" vertical="center" indent="1"/>
    </xf>
    <xf numFmtId="0" fontId="4" fillId="0" borderId="12" xfId="47" applyFont="1" applyBorder="1" applyAlignment="1">
      <alignment horizontal="left" vertical="center" indent="1"/>
    </xf>
    <xf numFmtId="0" fontId="4" fillId="0" borderId="13" xfId="47" applyFont="1" applyBorder="1" applyAlignment="1">
      <alignment horizontal="left" vertical="center" indent="1"/>
    </xf>
    <xf numFmtId="14" fontId="2" fillId="0" borderId="11" xfId="47" applyNumberFormat="1" applyBorder="1" applyAlignment="1">
      <alignment horizontal="left" vertical="center" indent="1"/>
    </xf>
    <xf numFmtId="0" fontId="4" fillId="0" borderId="11" xfId="47" applyFont="1" applyBorder="1" applyAlignment="1">
      <alignment horizontal="left" vertical="center" wrapText="1" indent="1"/>
    </xf>
    <xf numFmtId="0" fontId="23" fillId="30" borderId="11" xfId="47" applyFont="1" applyFill="1" applyBorder="1" applyAlignment="1">
      <alignment horizontal="center" vertical="center" wrapText="1"/>
    </xf>
    <xf numFmtId="0" fontId="23" fillId="30" borderId="12" xfId="47" applyFont="1" applyFill="1" applyBorder="1" applyAlignment="1">
      <alignment horizontal="center" vertical="center" wrapText="1"/>
    </xf>
    <xf numFmtId="0" fontId="23" fillId="30" borderId="13" xfId="47" applyFont="1" applyFill="1" applyBorder="1" applyAlignment="1">
      <alignment horizontal="center" vertical="center" wrapText="1"/>
    </xf>
    <xf numFmtId="0" fontId="23" fillId="25" borderId="18" xfId="47" applyFont="1" applyFill="1" applyBorder="1" applyAlignment="1">
      <alignment horizontal="center" vertical="center" wrapText="1"/>
    </xf>
    <xf numFmtId="0" fontId="22" fillId="0" borderId="14" xfId="47" applyFont="1" applyBorder="1" applyAlignment="1">
      <alignment horizontal="left" vertical="top" indent="1"/>
    </xf>
    <xf numFmtId="0" fontId="22" fillId="0" borderId="15" xfId="47" applyFont="1" applyBorder="1" applyAlignment="1">
      <alignment horizontal="left" vertical="top" indent="1"/>
    </xf>
    <xf numFmtId="0" fontId="22" fillId="0" borderId="16" xfId="47" applyFont="1" applyBorder="1" applyAlignment="1">
      <alignment horizontal="left" vertical="top" indent="1"/>
    </xf>
    <xf numFmtId="0" fontId="22" fillId="0" borderId="27" xfId="47" applyFont="1" applyBorder="1" applyAlignment="1">
      <alignment horizontal="left" vertical="top" indent="1"/>
    </xf>
    <xf numFmtId="0" fontId="22" fillId="0" borderId="0" xfId="47" applyFont="1" applyAlignment="1">
      <alignment horizontal="left" vertical="top" indent="1"/>
    </xf>
    <xf numFmtId="0" fontId="22" fillId="0" borderId="20" xfId="47" applyFont="1" applyBorder="1" applyAlignment="1">
      <alignment horizontal="left" vertical="top" indent="1"/>
    </xf>
    <xf numFmtId="0" fontId="22" fillId="0" borderId="23" xfId="47" applyFont="1" applyBorder="1" applyAlignment="1">
      <alignment horizontal="left" vertical="top" indent="1"/>
    </xf>
    <xf numFmtId="0" fontId="22" fillId="0" borderId="19" xfId="47" applyFont="1" applyBorder="1" applyAlignment="1">
      <alignment horizontal="left" vertical="top" indent="1"/>
    </xf>
    <xf numFmtId="0" fontId="22" fillId="0" borderId="21" xfId="47" applyFont="1" applyBorder="1" applyAlignment="1">
      <alignment horizontal="left" vertical="top" indent="1"/>
    </xf>
    <xf numFmtId="0" fontId="23" fillId="25" borderId="17" xfId="47" applyFont="1" applyFill="1" applyBorder="1" applyAlignment="1">
      <alignment horizontal="center" vertical="center" wrapText="1"/>
    </xf>
    <xf numFmtId="0" fontId="22" fillId="24" borderId="15" xfId="47" applyFont="1" applyFill="1" applyBorder="1" applyAlignment="1">
      <alignment horizontal="center" vertical="center" wrapText="1"/>
    </xf>
    <xf numFmtId="0" fontId="22" fillId="24" borderId="19" xfId="47" applyFont="1" applyFill="1" applyBorder="1" applyAlignment="1">
      <alignment horizontal="center" vertical="center" wrapText="1"/>
    </xf>
    <xf numFmtId="0" fontId="22" fillId="24" borderId="10" xfId="47" applyFont="1" applyFill="1" applyBorder="1" applyAlignment="1">
      <alignment horizontal="center" vertical="center" wrapText="1"/>
    </xf>
    <xf numFmtId="0" fontId="2" fillId="0" borderId="11" xfId="47" applyBorder="1" applyAlignment="1">
      <alignment horizontal="right" vertical="center" wrapText="1" indent="1"/>
    </xf>
    <xf numFmtId="0" fontId="2" fillId="0" borderId="13" xfId="47" applyBorder="1" applyAlignment="1">
      <alignment horizontal="right" vertical="center" wrapText="1" indent="1"/>
    </xf>
    <xf numFmtId="0" fontId="2" fillId="0" borderId="11" xfId="47" quotePrefix="1" applyBorder="1" applyAlignment="1">
      <alignment horizontal="left" vertical="center" indent="1"/>
    </xf>
    <xf numFmtId="18" fontId="2" fillId="0" borderId="11" xfId="47" quotePrefix="1" applyNumberFormat="1" applyBorder="1" applyAlignment="1">
      <alignment horizontal="left" vertical="center" indent="1"/>
    </xf>
  </cellXfs>
  <cellStyles count="93">
    <cellStyle name="20% - Accent1" xfId="1" builtinId="30" customBuiltin="1"/>
    <cellStyle name="20% - Accent1 2" xfId="52" xr:uid="{00000000-0005-0000-0000-000001000000}"/>
    <cellStyle name="20% - Accent2" xfId="2" builtinId="34" customBuiltin="1"/>
    <cellStyle name="20% - Accent2 2" xfId="53" xr:uid="{00000000-0005-0000-0000-000003000000}"/>
    <cellStyle name="20% - Accent3" xfId="3" builtinId="38" customBuiltin="1"/>
    <cellStyle name="20% - Accent3 2" xfId="54" xr:uid="{00000000-0005-0000-0000-000005000000}"/>
    <cellStyle name="20% - Accent4" xfId="4" builtinId="42" customBuiltin="1"/>
    <cellStyle name="20% - Accent4 2" xfId="55" xr:uid="{00000000-0005-0000-0000-000007000000}"/>
    <cellStyle name="20% - Accent5" xfId="5" builtinId="46" customBuiltin="1"/>
    <cellStyle name="20% - Accent5 2" xfId="56" xr:uid="{00000000-0005-0000-0000-000009000000}"/>
    <cellStyle name="20% - Accent6" xfId="6" builtinId="50" customBuiltin="1"/>
    <cellStyle name="20% - Accent6 2" xfId="57" xr:uid="{00000000-0005-0000-0000-00000B000000}"/>
    <cellStyle name="40% - Accent1" xfId="7" builtinId="31" customBuiltin="1"/>
    <cellStyle name="40% - Accent1 2" xfId="58" xr:uid="{00000000-0005-0000-0000-00000D000000}"/>
    <cellStyle name="40% - Accent2" xfId="8" builtinId="35" customBuiltin="1"/>
    <cellStyle name="40% - Accent2 2" xfId="59" xr:uid="{00000000-0005-0000-0000-00000F000000}"/>
    <cellStyle name="40% - Accent3" xfId="9" builtinId="39" customBuiltin="1"/>
    <cellStyle name="40% - Accent3 2" xfId="60" xr:uid="{00000000-0005-0000-0000-000011000000}"/>
    <cellStyle name="40% - Accent4" xfId="10" builtinId="43" customBuiltin="1"/>
    <cellStyle name="40% - Accent4 2" xfId="61" xr:uid="{00000000-0005-0000-0000-000013000000}"/>
    <cellStyle name="40% - Accent5" xfId="11" builtinId="47" customBuiltin="1"/>
    <cellStyle name="40% - Accent5 2" xfId="62" xr:uid="{00000000-0005-0000-0000-000015000000}"/>
    <cellStyle name="40% - Accent6" xfId="12" builtinId="51" customBuiltin="1"/>
    <cellStyle name="40% - Accent6 2" xfId="63" xr:uid="{00000000-0005-0000-0000-000017000000}"/>
    <cellStyle name="60% - Accent1" xfId="13" builtinId="32" customBuiltin="1"/>
    <cellStyle name="60% - Accent1 2" xfId="64" xr:uid="{00000000-0005-0000-0000-000019000000}"/>
    <cellStyle name="60% - Accent2" xfId="14" builtinId="36" customBuiltin="1"/>
    <cellStyle name="60% - Accent2 2" xfId="65" xr:uid="{00000000-0005-0000-0000-00001B000000}"/>
    <cellStyle name="60% - Accent3" xfId="15" builtinId="40" customBuiltin="1"/>
    <cellStyle name="60% - Accent3 2" xfId="66" xr:uid="{00000000-0005-0000-0000-00001D000000}"/>
    <cellStyle name="60% - Accent4" xfId="16" builtinId="44" customBuiltin="1"/>
    <cellStyle name="60% - Accent4 2" xfId="67" xr:uid="{00000000-0005-0000-0000-00001F000000}"/>
    <cellStyle name="60% - Accent5" xfId="17" builtinId="48" customBuiltin="1"/>
    <cellStyle name="60% - Accent5 2" xfId="68" xr:uid="{00000000-0005-0000-0000-000021000000}"/>
    <cellStyle name="60% - Accent6" xfId="18" builtinId="52" customBuiltin="1"/>
    <cellStyle name="60% - Accent6 2" xfId="69" xr:uid="{00000000-0005-0000-0000-000023000000}"/>
    <cellStyle name="Accent1" xfId="19" builtinId="29" customBuiltin="1"/>
    <cellStyle name="Accent1 2" xfId="70" xr:uid="{00000000-0005-0000-0000-000025000000}"/>
    <cellStyle name="Accent2" xfId="20" builtinId="33" customBuiltin="1"/>
    <cellStyle name="Accent2 2" xfId="71" xr:uid="{00000000-0005-0000-0000-000027000000}"/>
    <cellStyle name="Accent3" xfId="21" builtinId="37" customBuiltin="1"/>
    <cellStyle name="Accent3 2" xfId="72" xr:uid="{00000000-0005-0000-0000-000029000000}"/>
    <cellStyle name="Accent4" xfId="22" builtinId="41" customBuiltin="1"/>
    <cellStyle name="Accent4 2" xfId="73" xr:uid="{00000000-0005-0000-0000-00002B000000}"/>
    <cellStyle name="Accent5" xfId="23" builtinId="45" customBuiltin="1"/>
    <cellStyle name="Accent5 2" xfId="74" xr:uid="{00000000-0005-0000-0000-00002D000000}"/>
    <cellStyle name="Accent6" xfId="24" builtinId="49" customBuiltin="1"/>
    <cellStyle name="Accent6 2" xfId="75" xr:uid="{00000000-0005-0000-0000-00002F000000}"/>
    <cellStyle name="Bad" xfId="25" builtinId="27" customBuiltin="1"/>
    <cellStyle name="Bad 2" xfId="76" xr:uid="{00000000-0005-0000-0000-000031000000}"/>
    <cellStyle name="Calculation" xfId="26" builtinId="22" customBuiltin="1"/>
    <cellStyle name="Calculation 2" xfId="77" xr:uid="{00000000-0005-0000-0000-000033000000}"/>
    <cellStyle name="Check Cell" xfId="27" builtinId="23" customBuiltin="1"/>
    <cellStyle name="Check Cell 2" xfId="78" xr:uid="{00000000-0005-0000-0000-000035000000}"/>
    <cellStyle name="Comma 2" xfId="28" xr:uid="{00000000-0005-0000-0000-000036000000}"/>
    <cellStyle name="Comma 2 2" xfId="50" xr:uid="{00000000-0005-0000-0000-000037000000}"/>
    <cellStyle name="Explanatory Text" xfId="29" builtinId="53" customBuiltin="1"/>
    <cellStyle name="Explanatory Text 2" xfId="79" xr:uid="{00000000-0005-0000-0000-000039000000}"/>
    <cellStyle name="Good" xfId="30" builtinId="26" customBuiltin="1"/>
    <cellStyle name="Good 2" xfId="80" xr:uid="{00000000-0005-0000-0000-00003B000000}"/>
    <cellStyle name="Heading 1" xfId="31" builtinId="16" customBuiltin="1"/>
    <cellStyle name="Heading 1 2" xfId="81" xr:uid="{00000000-0005-0000-0000-00003D000000}"/>
    <cellStyle name="Heading 2" xfId="32" builtinId="17" customBuiltin="1"/>
    <cellStyle name="Heading 2 2" xfId="82" xr:uid="{00000000-0005-0000-0000-00003F000000}"/>
    <cellStyle name="Heading 3" xfId="33" builtinId="18" customBuiltin="1"/>
    <cellStyle name="Heading 3 2" xfId="83" xr:uid="{00000000-0005-0000-0000-000041000000}"/>
    <cellStyle name="Heading 4" xfId="34" builtinId="19" customBuiltin="1"/>
    <cellStyle name="Heading 4 2" xfId="84" xr:uid="{00000000-0005-0000-0000-000043000000}"/>
    <cellStyle name="Input" xfId="35" builtinId="20" customBuiltin="1"/>
    <cellStyle name="Input 2" xfId="85" xr:uid="{00000000-0005-0000-0000-000045000000}"/>
    <cellStyle name="Linked Cell" xfId="36" builtinId="24" customBuiltin="1"/>
    <cellStyle name="Linked Cell 2" xfId="86" xr:uid="{00000000-0005-0000-0000-000047000000}"/>
    <cellStyle name="Neutral" xfId="37" builtinId="28" customBuiltin="1"/>
    <cellStyle name="Neutral 2" xfId="87" xr:uid="{00000000-0005-0000-0000-000049000000}"/>
    <cellStyle name="Normal" xfId="0" builtinId="0"/>
    <cellStyle name="Normal 2" xfId="44" xr:uid="{00000000-0005-0000-0000-00004B000000}"/>
    <cellStyle name="Normal 2 2" xfId="47" xr:uid="{00000000-0005-0000-0000-00004C000000}"/>
    <cellStyle name="Note" xfId="38" builtinId="10" customBuiltin="1"/>
    <cellStyle name="Note 2" xfId="51" xr:uid="{00000000-0005-0000-0000-00004E000000}"/>
    <cellStyle name="Note 3" xfId="88" xr:uid="{00000000-0005-0000-0000-00004F000000}"/>
    <cellStyle name="Output" xfId="39" builtinId="21" customBuiltin="1"/>
    <cellStyle name="Output 2" xfId="89" xr:uid="{00000000-0005-0000-0000-000051000000}"/>
    <cellStyle name="Percent" xfId="40" builtinId="5"/>
    <cellStyle name="Percent 2" xfId="45" xr:uid="{00000000-0005-0000-0000-000053000000}"/>
    <cellStyle name="Percent 2 2" xfId="48" xr:uid="{00000000-0005-0000-0000-000054000000}"/>
    <cellStyle name="Percent 3" xfId="46" xr:uid="{00000000-0005-0000-0000-000055000000}"/>
    <cellStyle name="Percent 3 2" xfId="49" xr:uid="{00000000-0005-0000-0000-000056000000}"/>
    <cellStyle name="Title" xfId="41" builtinId="15" customBuiltin="1"/>
    <cellStyle name="Title 2" xfId="90" xr:uid="{00000000-0005-0000-0000-000058000000}"/>
    <cellStyle name="Total" xfId="42" builtinId="25" customBuiltin="1"/>
    <cellStyle name="Total 2" xfId="91" xr:uid="{00000000-0005-0000-0000-00005A000000}"/>
    <cellStyle name="Warning Text" xfId="43" builtinId="11" customBuiltin="1"/>
    <cellStyle name="Warning Text 2" xfId="92" xr:uid="{00000000-0005-0000-0000-00005C000000}"/>
  </cellStyles>
  <dxfs count="0"/>
  <tableStyles count="0" defaultTableStyle="TableStyleMedium2" defaultPivotStyle="PivotStyleLight16"/>
  <colors>
    <mruColors>
      <color rgb="FFC0C0C0"/>
      <color rgb="FF8DB4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Input Variable Uncertainty Influence</a:t>
            </a:r>
          </a:p>
        </c:rich>
      </c:tx>
      <c:layout>
        <c:manualLayout>
          <c:xMode val="edge"/>
          <c:yMode val="edge"/>
          <c:x val="0.31500199616159769"/>
          <c:y val="1.9476905954368393E-2"/>
        </c:manualLayout>
      </c:layout>
      <c:overlay val="0"/>
    </c:title>
    <c:autoTitleDeleted val="0"/>
    <c:plotArea>
      <c:layout>
        <c:manualLayout>
          <c:layoutTarget val="inner"/>
          <c:xMode val="edge"/>
          <c:yMode val="edge"/>
          <c:x val="0.20573335967814488"/>
          <c:y val="0.11148419345670964"/>
          <c:w val="0.74150821243447074"/>
          <c:h val="0.77104105020311953"/>
        </c:manualLayout>
      </c:layout>
      <c:barChart>
        <c:barDir val="bar"/>
        <c:grouping val="clustered"/>
        <c:varyColors val="0"/>
        <c:ser>
          <c:idx val="0"/>
          <c:order val="0"/>
          <c:tx>
            <c:v>Contributors</c:v>
          </c:tx>
          <c:invertIfNegative val="0"/>
          <c:cat>
            <c:strRef>
              <c:f>EqBudget!$C$16:$C$30</c:f>
              <c:strCache>
                <c:ptCount val="2"/>
                <c:pt idx="0">
                  <c:v>AC Voltage 1</c:v>
                </c:pt>
                <c:pt idx="1">
                  <c:v>AC Voltage 2</c:v>
                </c:pt>
              </c:strCache>
            </c:strRef>
          </c:cat>
          <c:val>
            <c:numRef>
              <c:f>EqBudget!$AY$2:$AY$16</c:f>
              <c:numCache>
                <c:formatCode>0%</c:formatCode>
                <c:ptCount val="15"/>
                <c:pt idx="0">
                  <c:v>0.50000024319442182</c:v>
                </c:pt>
                <c:pt idx="1">
                  <c:v>0.49999975680557796</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4A8-4DF1-AC1E-A63A3ECF138C}"/>
            </c:ext>
          </c:extLst>
        </c:ser>
        <c:dLbls>
          <c:showLegendKey val="0"/>
          <c:showVal val="0"/>
          <c:showCatName val="0"/>
          <c:showSerName val="0"/>
          <c:showPercent val="0"/>
          <c:showBubbleSize val="0"/>
        </c:dLbls>
        <c:gapWidth val="150"/>
        <c:axId val="130798720"/>
        <c:axId val="131102592"/>
      </c:barChart>
      <c:catAx>
        <c:axId val="130798720"/>
        <c:scaling>
          <c:orientation val="maxMin"/>
        </c:scaling>
        <c:delete val="0"/>
        <c:axPos val="l"/>
        <c:numFmt formatCode="General" sourceLinked="1"/>
        <c:majorTickMark val="out"/>
        <c:minorTickMark val="none"/>
        <c:tickLblPos val="nextTo"/>
        <c:crossAx val="131102592"/>
        <c:crosses val="autoZero"/>
        <c:auto val="0"/>
        <c:lblAlgn val="ctr"/>
        <c:lblOffset val="100"/>
        <c:noMultiLvlLbl val="0"/>
      </c:catAx>
      <c:valAx>
        <c:axId val="131102592"/>
        <c:scaling>
          <c:orientation val="minMax"/>
        </c:scaling>
        <c:delete val="0"/>
        <c:axPos val="b"/>
        <c:majorGridlines/>
        <c:title>
          <c:tx>
            <c:rich>
              <a:bodyPr/>
              <a:lstStyle/>
              <a:p>
                <a:pPr>
                  <a:defRPr/>
                </a:pPr>
                <a:r>
                  <a:rPr lang="en-US"/>
                  <a:t>Percent Contribution To Combined Uncertainty</a:t>
                </a:r>
              </a:p>
            </c:rich>
          </c:tx>
          <c:overlay val="0"/>
        </c:title>
        <c:numFmt formatCode="0%" sourceLinked="0"/>
        <c:majorTickMark val="out"/>
        <c:minorTickMark val="none"/>
        <c:tickLblPos val="nextTo"/>
        <c:crossAx val="130798720"/>
        <c:crosses val="max"/>
        <c:crossBetween val="between"/>
      </c:valAx>
      <c:spPr>
        <a:ln>
          <a:solidFill>
            <a:srgbClr val="000000"/>
          </a:solidFill>
        </a:ln>
      </c:spPr>
    </c:plotArea>
    <c:plotVisOnly val="1"/>
    <c:dispBlanksAs val="gap"/>
    <c:showDLblsOverMax val="0"/>
  </c:chart>
  <c:spPr>
    <a:ln w="12700">
      <a:solidFill>
        <a:srgbClr val="000000"/>
      </a:solid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Error Source Uncertainty Influence</a:t>
            </a:r>
          </a:p>
        </c:rich>
      </c:tx>
      <c:layout>
        <c:manualLayout>
          <c:xMode val="edge"/>
          <c:yMode val="edge"/>
          <c:x val="0.31500199616159769"/>
          <c:y val="1.9476905954368393E-2"/>
        </c:manualLayout>
      </c:layout>
      <c:overlay val="0"/>
    </c:title>
    <c:autoTitleDeleted val="0"/>
    <c:plotArea>
      <c:layout>
        <c:manualLayout>
          <c:layoutTarget val="inner"/>
          <c:xMode val="edge"/>
          <c:yMode val="edge"/>
          <c:x val="0.21997076846974481"/>
          <c:y val="0.10883026564354614"/>
          <c:w val="0.72727080364287089"/>
          <c:h val="0.77104105020311953"/>
        </c:manualLayout>
      </c:layout>
      <c:barChart>
        <c:barDir val="bar"/>
        <c:grouping val="clustered"/>
        <c:varyColors val="0"/>
        <c:ser>
          <c:idx val="0"/>
          <c:order val="0"/>
          <c:tx>
            <c:v>Contributors</c:v>
          </c:tx>
          <c:invertIfNegative val="0"/>
          <c:cat>
            <c:strRef>
              <c:f>Budget!$C$17:$C$31</c:f>
              <c:strCache>
                <c:ptCount val="4"/>
                <c:pt idx="0">
                  <c:v>CALSTD</c:v>
                </c:pt>
                <c:pt idx="1">
                  <c:v>CALSTD Cal</c:v>
                </c:pt>
                <c:pt idx="2">
                  <c:v>Resolution</c:v>
                </c:pt>
                <c:pt idx="3">
                  <c:v>Repeatability</c:v>
                </c:pt>
              </c:strCache>
            </c:strRef>
          </c:cat>
          <c:val>
            <c:numRef>
              <c:f>Budget!$T$3:$T$17</c:f>
              <c:numCache>
                <c:formatCode>0%</c:formatCode>
                <c:ptCount val="15"/>
                <c:pt idx="0">
                  <c:v>0.99153712050569243</c:v>
                </c:pt>
                <c:pt idx="1">
                  <c:v>8.461116761648577E-3</c:v>
                </c:pt>
                <c:pt idx="2">
                  <c:v>1.4689438822306559E-7</c:v>
                </c:pt>
                <c:pt idx="3">
                  <c:v>1.6158382704461892E-6</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DC47-4A14-8371-C474C28CF2BF}"/>
            </c:ext>
          </c:extLst>
        </c:ser>
        <c:dLbls>
          <c:showLegendKey val="0"/>
          <c:showVal val="0"/>
          <c:showCatName val="0"/>
          <c:showSerName val="0"/>
          <c:showPercent val="0"/>
          <c:showBubbleSize val="0"/>
        </c:dLbls>
        <c:gapWidth val="150"/>
        <c:axId val="157892608"/>
        <c:axId val="157894144"/>
      </c:barChart>
      <c:catAx>
        <c:axId val="157892608"/>
        <c:scaling>
          <c:orientation val="maxMin"/>
        </c:scaling>
        <c:delete val="0"/>
        <c:axPos val="l"/>
        <c:numFmt formatCode="General" sourceLinked="1"/>
        <c:majorTickMark val="out"/>
        <c:minorTickMark val="none"/>
        <c:tickLblPos val="nextTo"/>
        <c:crossAx val="157894144"/>
        <c:crosses val="autoZero"/>
        <c:auto val="0"/>
        <c:lblAlgn val="ctr"/>
        <c:lblOffset val="100"/>
        <c:noMultiLvlLbl val="0"/>
      </c:catAx>
      <c:valAx>
        <c:axId val="157894144"/>
        <c:scaling>
          <c:orientation val="minMax"/>
        </c:scaling>
        <c:delete val="0"/>
        <c:axPos val="b"/>
        <c:majorGridlines/>
        <c:title>
          <c:tx>
            <c:rich>
              <a:bodyPr/>
              <a:lstStyle/>
              <a:p>
                <a:pPr>
                  <a:defRPr/>
                </a:pPr>
                <a:r>
                  <a:rPr lang="en-US"/>
                  <a:t>Percent Contribution To Combined Uncertainty</a:t>
                </a:r>
              </a:p>
            </c:rich>
          </c:tx>
          <c:overlay val="0"/>
        </c:title>
        <c:numFmt formatCode="0%" sourceLinked="0"/>
        <c:majorTickMark val="out"/>
        <c:minorTickMark val="none"/>
        <c:tickLblPos val="nextTo"/>
        <c:crossAx val="157892608"/>
        <c:crosses val="max"/>
        <c:crossBetween val="between"/>
      </c:valAx>
      <c:spPr>
        <a:ln>
          <a:solidFill>
            <a:srgbClr val="000000"/>
          </a:solidFill>
        </a:ln>
      </c:spPr>
    </c:plotArea>
    <c:plotVisOnly val="1"/>
    <c:dispBlanksAs val="gap"/>
    <c:showDLblsOverMax val="0"/>
  </c:chart>
  <c:spPr>
    <a:ln w="12700">
      <a:solidFill>
        <a:srgbClr val="000000"/>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CheckBox" fmlaLink="$AC$39"/>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O$38"/>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76200</xdr:colOff>
      <xdr:row>11</xdr:row>
      <xdr:rowOff>99060</xdr:rowOff>
    </xdr:from>
    <xdr:to>
      <xdr:col>9</xdr:col>
      <xdr:colOff>220980</xdr:colOff>
      <xdr:row>152</xdr:row>
      <xdr:rowOff>22860</xdr:rowOff>
    </xdr:to>
    <xdr:sp macro="" textlink="">
      <xdr:nvSpPr>
        <xdr:cNvPr id="2" name="Text Box 8">
          <a:extLst>
            <a:ext uri="{FF2B5EF4-FFF2-40B4-BE49-F238E27FC236}">
              <a16:creationId xmlns:a16="http://schemas.microsoft.com/office/drawing/2014/main" id="{00000000-0008-0000-0000-000002000000}"/>
            </a:ext>
          </a:extLst>
        </xdr:cNvPr>
        <xdr:cNvSpPr txBox="1">
          <a:spLocks noChangeArrowheads="1"/>
        </xdr:cNvSpPr>
      </xdr:nvSpPr>
      <xdr:spPr bwMode="auto">
        <a:xfrm>
          <a:off x="76200" y="2636520"/>
          <a:ext cx="7673340" cy="235610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r>
            <a:rPr lang="en-US" sz="1400" b="1">
              <a:effectLst/>
              <a:latin typeface="Arial" panose="020B0604020202020204" pitchFamily="34" charset="0"/>
              <a:ea typeface="+mn-ea"/>
              <a:cs typeface="Arial" panose="020B0604020202020204" pitchFamily="34" charset="0"/>
            </a:rPr>
            <a:t>Uncertainty Analysis Tool</a:t>
          </a:r>
        </a:p>
        <a:p>
          <a:r>
            <a:rPr lang="en-US" sz="1000" b="0">
              <a:effectLst/>
              <a:latin typeface="Arial" panose="020B0604020202020204" pitchFamily="34" charset="0"/>
              <a:ea typeface="+mn-ea"/>
              <a:cs typeface="Arial" panose="020B0604020202020204" pitchFamily="34" charset="0"/>
            </a:rPr>
            <a:t>Version 7.09</a:t>
          </a:r>
        </a:p>
        <a:p>
          <a:endParaRPr lang="en-US" sz="1000">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Overview</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This analysis tool provides the capability of managing tolerance, uncertainty, and risk information for the test points of a metrology document.</a:t>
          </a: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Legal Disclaimer</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r>
            <a:rPr kumimoji="0" lang="en-US" sz="10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rPr>
            <a:t>This uncertainty analysis tool was developed by the US Navy METCAL Program.  It is provided free of charge, but the US Navy excludes to the fullest extent permitted by applicable law any warranty, express or implied, including, without limitation, any implied warranties of merchantability, satisfactory quality or fitness for a particular purpose.  This software has been tested and validated, but the US Navy shall not be liable for any damages of any kind arising from the use of this tool, including, but not limited to direct, indirect, incidental, punitive and consequential damages. The functions embodied in this tool are not warranted to be uninterrupted or without error.  You, assume the entire cost of all necessary servicing, repair or correction due to your use of this tool</a:t>
          </a:r>
        </a:p>
        <a:p>
          <a:r>
            <a:rPr kumimoji="0" lang="en-US" sz="10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r>
            <a:rPr kumimoji="0" lang="en-US" sz="10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rPr>
            <a:t>This tool may be freely distributed and used for analysis or teaching purposes, however, it shall not be sold without permission from the US Navy.  Updates and fixes for this tool can be obtained through the US Navy METCAL program by sending an email to Dennis.H.Jackson@navy.mil.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 Note on Protection</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When calculation tools are called, the workbook is protected.  This keeps the tools from being deleted.  If a copy of a tool sheet is needed, workbook protection must be disabled during the copy.  Similarly, the sheets are protected to avoid overwriting functions.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 Note on Formatting</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By default, numbers are formatted using general notation. Numbers can be formatted using the usual Excel number formatting tools.  For example, extra decimals can be added or removed in the Number section of the ribbon.  In addition, row and column sizes can be changed and colors or fonts can be applied in the usual fashion.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 Note on Printing</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Excel has a known problem with printing worksheets that have buttons.  The buttons will often resize or change position.  It is, therefore, recommended that copies of your file be used to print worksheets.  In other words, make a copy of your Excel file and do the printing from the copied file.  A future version of Excel will probably rectify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Analysis Info Sheet</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This initial worksheet</a:t>
          </a:r>
          <a:r>
            <a:rPr lang="en-US" sz="1000" baseline="0">
              <a:effectLst/>
              <a:latin typeface="Arial" panose="020B0604020202020204" pitchFamily="34" charset="0"/>
              <a:ea typeface="+mn-ea"/>
              <a:cs typeface="Arial" panose="020B0604020202020204" pitchFamily="34" charset="0"/>
            </a:rPr>
            <a:t> </a:t>
          </a:r>
          <a:r>
            <a:rPr lang="en-US" sz="1000">
              <a:effectLst/>
              <a:latin typeface="Arial" panose="020B0604020202020204" pitchFamily="34" charset="0"/>
              <a:ea typeface="+mn-ea"/>
              <a:cs typeface="Arial" panose="020B0604020202020204" pitchFamily="34" charset="0"/>
            </a:rPr>
            <a:t>provides a place to identify the equipment this applies to, yourself, and your organization.  This information will be used to label reports generated by this tool.  Use the "Save As MUA File" button to save this file with a file neme of the form "MUA Equipment Name.xlsm".  DO NOT DELETE THIS SHEET OR ANY POPUP TOOL SHEETS (e.g.</a:t>
          </a:r>
          <a:r>
            <a:rPr lang="en-US" sz="1000" baseline="0">
              <a:effectLst/>
              <a:latin typeface="Arial" panose="020B0604020202020204" pitchFamily="34" charset="0"/>
              <a:ea typeface="+mn-ea"/>
              <a:cs typeface="Arial" panose="020B0604020202020204" pitchFamily="34" charset="0"/>
            </a:rPr>
            <a:t> Budget or Tolerance calculators).  Doing so will disable this tool.</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Notes Sheet</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Notes worksheet can be optionally used to record analysis notes.  The text box can be extended as needed to allow for more space.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Document </a:t>
          </a: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Sheet</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Document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worksheet </a:t>
          </a:r>
          <a:r>
            <a:rPr lang="en-US" sz="1000">
              <a:effectLst/>
              <a:latin typeface="Arial" panose="020B0604020202020204" pitchFamily="34" charset="0"/>
              <a:ea typeface="+mn-ea"/>
              <a:cs typeface="Arial" panose="020B0604020202020204" pitchFamily="34" charset="0"/>
            </a:rPr>
            <a:t>is where you identify the test point information.  You can copy and rename this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worksheet </a:t>
          </a:r>
          <a:r>
            <a:rPr lang="en-US" sz="1000">
              <a:effectLst/>
              <a:latin typeface="Arial" panose="020B0604020202020204" pitchFamily="34" charset="0"/>
              <a:ea typeface="+mn-ea"/>
              <a:cs typeface="Arial" panose="020B0604020202020204" pitchFamily="34" charset="0"/>
            </a:rPr>
            <a:t>to allow different tabs for each metrology document.  There are buttons to allow you to do detailed analyses.  The columns are used to enter the following information.</a:t>
          </a: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Section</a:t>
          </a:r>
          <a:r>
            <a:rPr lang="en-US" sz="1000">
              <a:effectLst/>
              <a:latin typeface="Arial" panose="020B0604020202020204" pitchFamily="34" charset="0"/>
              <a:ea typeface="+mn-ea"/>
              <a:cs typeface="Arial" panose="020B0604020202020204" pitchFamily="34" charset="0"/>
            </a:rPr>
            <a:t> – Identify the test step.</a:t>
          </a:r>
        </a:p>
        <a:p>
          <a:r>
            <a:rPr lang="en-US" sz="1000" b="1">
              <a:effectLst/>
              <a:latin typeface="Arial" panose="020B0604020202020204" pitchFamily="34" charset="0"/>
              <a:ea typeface="+mn-ea"/>
              <a:cs typeface="Arial" panose="020B0604020202020204" pitchFamily="34" charset="0"/>
            </a:rPr>
            <a:t>UUT </a:t>
          </a:r>
          <a:r>
            <a:rPr lang="en-US" sz="1000">
              <a:effectLst/>
              <a:latin typeface="Arial" panose="020B0604020202020204" pitchFamily="34" charset="0"/>
              <a:ea typeface="+mn-ea"/>
              <a:cs typeface="Arial" panose="020B0604020202020204" pitchFamily="34" charset="0"/>
            </a:rPr>
            <a:t>– Identify the Unit Under Test (UUT) being tested.  Note, the equipment is shown</a:t>
          </a:r>
          <a:r>
            <a:rPr lang="en-US" sz="1000" baseline="0">
              <a:effectLst/>
              <a:latin typeface="Arial" panose="020B0604020202020204" pitchFamily="34" charset="0"/>
              <a:ea typeface="+mn-ea"/>
              <a:cs typeface="Arial" panose="020B0604020202020204" pitchFamily="34" charset="0"/>
            </a:rPr>
            <a:t> at the top of this tab.  To copy and paste this information, be sure to paste values since an ordinary paste will inappropriately merge cells.  Alternatively, use the function "=C1".</a:t>
          </a:r>
          <a:endParaRPr lang="en-US" sz="1000">
            <a:effectLst/>
            <a:latin typeface="Arial" panose="020B0604020202020204" pitchFamily="34" charset="0"/>
            <a:ea typeface="+mn-ea"/>
            <a:cs typeface="Arial" panose="020B0604020202020204" pitchFamily="34" charset="0"/>
          </a:endParaRPr>
        </a:p>
        <a:p>
          <a:r>
            <a:rPr lang="en-US" sz="1000" b="1">
              <a:effectLst/>
              <a:latin typeface="Arial" panose="020B0604020202020204" pitchFamily="34" charset="0"/>
              <a:ea typeface="+mn-ea"/>
              <a:cs typeface="Arial" panose="020B0604020202020204" pitchFamily="34" charset="0"/>
            </a:rPr>
            <a:t>TMDE </a:t>
          </a:r>
          <a:r>
            <a:rPr lang="en-US" sz="1000">
              <a:effectLst/>
              <a:latin typeface="Arial" panose="020B0604020202020204" pitchFamily="34" charset="0"/>
              <a:ea typeface="+mn-ea"/>
              <a:cs typeface="Arial" panose="020B0604020202020204" pitchFamily="34" charset="0"/>
            </a:rPr>
            <a:t>– Identify the Test</a:t>
          </a:r>
          <a:r>
            <a:rPr lang="en-US" sz="1000" baseline="0">
              <a:effectLst/>
              <a:latin typeface="Arial" panose="020B0604020202020204" pitchFamily="34" charset="0"/>
              <a:ea typeface="+mn-ea"/>
              <a:cs typeface="Arial" panose="020B0604020202020204" pitchFamily="34" charset="0"/>
            </a:rPr>
            <a:t> Measurement or Diagnostic Equipment </a:t>
          </a:r>
          <a:r>
            <a:rPr lang="en-US" sz="1000">
              <a:effectLst/>
              <a:latin typeface="Arial" panose="020B0604020202020204" pitchFamily="34" charset="0"/>
              <a:ea typeface="+mn-ea"/>
              <a:cs typeface="Arial" panose="020B0604020202020204" pitchFamily="34" charset="0"/>
            </a:rPr>
            <a:t>(TMDE) used.</a:t>
          </a: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Parameter Name</a:t>
          </a:r>
          <a:r>
            <a:rPr lang="en-US" sz="1000">
              <a:effectLst/>
              <a:latin typeface="Arial" panose="020B0604020202020204" pitchFamily="34" charset="0"/>
              <a:ea typeface="+mn-ea"/>
              <a:cs typeface="Arial" panose="020B0604020202020204" pitchFamily="34" charset="0"/>
            </a:rPr>
            <a:t> – Identify the parameter being tested (e.g. DC Voltage).</a:t>
          </a:r>
        </a:p>
        <a:p>
          <a:r>
            <a:rPr lang="en-US" sz="1000" b="1">
              <a:effectLst/>
              <a:latin typeface="Arial" panose="020B0604020202020204" pitchFamily="34" charset="0"/>
              <a:ea typeface="+mn-ea"/>
              <a:cs typeface="Arial" panose="020B0604020202020204" pitchFamily="34" charset="0"/>
            </a:rPr>
            <a:t>Measurement Units</a:t>
          </a:r>
          <a:r>
            <a:rPr lang="en-US" sz="1000">
              <a:effectLst/>
              <a:latin typeface="Arial" panose="020B0604020202020204" pitchFamily="34" charset="0"/>
              <a:ea typeface="+mn-ea"/>
              <a:cs typeface="Arial" panose="020B0604020202020204" pitchFamily="34" charset="0"/>
            </a:rPr>
            <a:t> – Identify the units for the parameter (e.g., V).</a:t>
          </a:r>
        </a:p>
        <a:p>
          <a:r>
            <a:rPr lang="en-US" sz="1000" b="1">
              <a:effectLst/>
              <a:latin typeface="Arial" panose="020B0604020202020204" pitchFamily="34" charset="0"/>
              <a:ea typeface="+mn-ea"/>
              <a:cs typeface="Arial" panose="020B0604020202020204" pitchFamily="34" charset="0"/>
            </a:rPr>
            <a:t>Measurement Point</a:t>
          </a:r>
          <a:r>
            <a:rPr lang="en-US" sz="1000">
              <a:effectLst/>
              <a:latin typeface="Arial" panose="020B0604020202020204" pitchFamily="34" charset="0"/>
              <a:ea typeface="+mn-ea"/>
              <a:cs typeface="Arial" panose="020B0604020202020204" pitchFamily="34" charset="0"/>
            </a:rPr>
            <a:t> – Identify the numeric value of the test point (e.g., 10).</a:t>
          </a: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Qualifier Name</a:t>
          </a:r>
          <a:r>
            <a:rPr lang="en-US" sz="1000">
              <a:effectLst/>
              <a:latin typeface="Arial" panose="020B0604020202020204" pitchFamily="34" charset="0"/>
              <a:ea typeface="+mn-ea"/>
              <a:cs typeface="Arial" panose="020B0604020202020204" pitchFamily="34" charset="0"/>
            </a:rPr>
            <a:t> – Identify a qualifier for the parameter if necessary (e.g. Frequency).</a:t>
          </a:r>
        </a:p>
        <a:p>
          <a:r>
            <a:rPr lang="en-US" sz="1000" b="1">
              <a:effectLst/>
              <a:latin typeface="Arial" panose="020B0604020202020204" pitchFamily="34" charset="0"/>
              <a:ea typeface="+mn-ea"/>
              <a:cs typeface="Arial" panose="020B0604020202020204" pitchFamily="34" charset="0"/>
            </a:rPr>
            <a:t>Qualifier Units</a:t>
          </a:r>
          <a:r>
            <a:rPr lang="en-US" sz="1000">
              <a:effectLst/>
              <a:latin typeface="Arial" panose="020B0604020202020204" pitchFamily="34" charset="0"/>
              <a:ea typeface="+mn-ea"/>
              <a:cs typeface="Arial" panose="020B0604020202020204" pitchFamily="34" charset="0"/>
            </a:rPr>
            <a:t> – Identify the qualifier units, if necessary (e.g,.Hz).</a:t>
          </a:r>
        </a:p>
        <a:p>
          <a:r>
            <a:rPr lang="en-US" sz="1000" b="1">
              <a:effectLst/>
              <a:latin typeface="Arial" panose="020B0604020202020204" pitchFamily="34" charset="0"/>
              <a:ea typeface="+mn-ea"/>
              <a:cs typeface="Arial" panose="020B0604020202020204" pitchFamily="34" charset="0"/>
            </a:rPr>
            <a:t>Qualifier Value</a:t>
          </a:r>
          <a:r>
            <a:rPr lang="en-US" sz="1000">
              <a:effectLst/>
              <a:latin typeface="Arial" panose="020B0604020202020204" pitchFamily="34" charset="0"/>
              <a:ea typeface="+mn-ea"/>
              <a:cs typeface="Arial" panose="020B0604020202020204" pitchFamily="34" charset="0"/>
            </a:rPr>
            <a:t> – Identify the qualifier numeric value, if necessary (e.g,.20).</a:t>
          </a: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Move To Navigation Buttons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Move To buttons simply move the Section Tab to columns closer to specific activities.  The First Column button moves the sheet to the first test point column.  The Calc Tol/Unc button moves the sheet to the Tolerance and Uncertainty Tools.  The Equations button moves the sheet to the Equation columns (explained below).  The Risk button moves the sheet to the Risk columns (PFA, PFR, Guard Bands, etc.).  All Move To navigation buttons force recalculation and reprotect your 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Row Management Buttons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All of the worksheets are protected to keep you from overwriting functions and disabling the functionality of this tool.  Insert rows using either the Insert Row Above or Below buttons.  Delete the rows you’re on using the Delete Rows button.  Clear the information in the rows you’re on without clearing the necessary functions using the Clear Rows button.  It should be noted that columns cannot be added to the Section tab without destroying the functionality of this tool.</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 Copy and Paste, choose the rows you want to copy and press the Copy Rows button.  Choose a cell in the row on the same sheet where you want to insert the copied rows, then press Paste Rows.  Multiple pastes are allowed.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 copy rows to a different sheet, you must unprotect the sheet you are going to copy to.  Then, select the entire rows to be copied from the other sheet and use the Excel copy function or Ctl C.  Then, select the entire row on the sheet where you want to insert the copied rows and use the Excel Insert function or use the keyboard Paste function (Ctl V).  Use the Start/Recalc button to reprotect your 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UUT Tolerance Values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UUT Tolerance Tool button will support you entering information for the Low and High values for the test point row you’re on.  Press this button and enter the tolerance expression.  When you return to test points, the UUT tolerances will be entered in the correct columns.</a:t>
          </a:r>
        </a:p>
        <a:p>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UUT Equation Tolerance Tool button will calculate UUT tolerances</a:t>
          </a:r>
          <a:r>
            <a:rPr lang="en-US" sz="1000" baseline="0">
              <a:effectLst/>
              <a:latin typeface="Arial" panose="020B0604020202020204" pitchFamily="34" charset="0"/>
              <a:ea typeface="+mn-ea"/>
              <a:cs typeface="Arial" panose="020B0604020202020204" pitchFamily="34" charset="0"/>
            </a:rPr>
            <a:t> based on a measurement equation.  The measurement equation must be entered using the methods discussed below in the Measurement Equations section.  Tolerances for test points based on measurement equations can be calculated using either the measurement equation (UUT Equation Tolerance Tool button ) or tolerance expression (UUT Tolerance Tool button ) methods.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TMDE Tolerance Values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TMDE Tolerance Tool button will support you entering information for the Low and High values for the test point row you’re on.  Press this button and enter the tolerance expression.  When you return to test points, the TMDE tolerances will be entered in the correct columns.</a:t>
          </a: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Update Tolerances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Update Tolerances button will update the UUT and TMDE tolerances using the tolerance expressions for the Measurement Points for all the rows selected.  This can be used with copied rows that have the same UUT and CALSTD tolerance expressions.  The tolerances are updated using the existing expressions and the new Measurement Points.  This also updates the uncertainty budget entries based on tolerance limit tools, as well as equation budgets if they are in the selected rows.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Single Sided Limits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single sided limits, the UUT Tolerance Tool should not be used.  To enter single sided .limits, enter the threshold limit and leave the other limit blank.  For a lower limit (e.g., Power &gt; 5 w), enter the UUT Tolerance Low Value and leave the UUT Tolerance High Value blank.  For an upper limit (e.g., Stray Voltage &lt;  5 mV), enter the UUT Tolerance High Value and leave the UUT Tolerance Low Value blank. If the average value for the UUT measurement can be obtained, enter this value in the Measurement Equation Code/Values column.  Alternatively for upper limit situations, if there is no estimated average value, consider using zero (0) for the UUT Tolerance Low Value.  TAR, TUR, Risk, and guard band calculations are correctly performed for single sided limits.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r>
            <a:rPr lang="en-US" sz="1000" b="1">
              <a:effectLst/>
              <a:latin typeface="Arial" panose="020B0604020202020204" pitchFamily="34" charset="0"/>
              <a:ea typeface="+mn-ea"/>
              <a:cs typeface="Arial" panose="020B0604020202020204" pitchFamily="34" charset="0"/>
            </a:rPr>
            <a:t>Measurement Uncertainty Analysis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Uncertainty Tool button provides the capability of specifying and calculating a measurement uncertainty budget for the test point row you’re on.  Pressing this button opens a Budget tab which can be used as a report on the measurement uncertainty budget  for the given test point.  When you return to the Document Tab from the Budget Tab (using the Store and Return button), all of the information for your uncertainty budget is maintained for each test step and the 95% expanded uncertainty is stored in the Measurement Uncertainty (95%) column.</a:t>
          </a: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Measurement Equations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Equations are identified by specifying the number of variables in the equation in the No of Variables column.  If, for example, 2 variables are specified, the previous 2 rows are considered to contain input variables for the equation.  Up to 15 variables can be specified.</a:t>
          </a:r>
        </a:p>
        <a:p>
          <a:r>
            <a:rPr lang="en-US" sz="1000">
              <a:effectLst/>
              <a:latin typeface="Arial" panose="020B0604020202020204" pitchFamily="34" charset="0"/>
              <a:ea typeface="+mn-ea"/>
              <a:cs typeface="Arial" panose="020B0604020202020204"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en-US" sz="1000">
              <a:effectLst/>
              <a:latin typeface="Arial" panose="020B0604020202020204" pitchFamily="34" charset="0"/>
              <a:ea typeface="+mn-ea"/>
              <a:cs typeface="Arial" panose="020B0604020202020204" pitchFamily="34" charset="0"/>
            </a:rPr>
            <a:t>Input the values for the input variables in the rows for each input variable.  Note:  If the input variable is an error component such as repeatability, simply enter 0 for the value.  An uncertainty analysis must be provided for each input variable.</a:t>
          </a:r>
        </a:p>
        <a:p>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Measurement Equation Code/Values column is used to enter the equation using Excel functions.  Simply start the equation with “=” and identify the cells for the equation.  For example, a simple multiplicative model for the previous two variables could be identified in cell U17 by “=U15 * U16”.  Arbitrarily complicated expressions can be used including Excel functions (Sin, Exp, etc.) and VBA functions.</a:t>
          </a:r>
        </a:p>
        <a:p>
          <a:r>
            <a:rPr lang="en-US" sz="1000">
              <a:effectLst/>
              <a:latin typeface="Arial" panose="020B0604020202020204" pitchFamily="34" charset="0"/>
              <a:ea typeface="+mn-ea"/>
              <a:cs typeface="Arial" panose="020B0604020202020204" pitchFamily="34" charset="0"/>
            </a:rPr>
            <a:t> </a:t>
          </a:r>
        </a:p>
        <a:p>
          <a:r>
            <a:rPr lang="en-US" sz="1000">
              <a:effectLst/>
              <a:latin typeface="Arial" panose="020B0604020202020204" pitchFamily="34" charset="0"/>
              <a:ea typeface="+mn-ea"/>
              <a:cs typeface="Arial" panose="020B0604020202020204" pitchFamily="34" charset="0"/>
            </a:rPr>
            <a:t>The Measurement Equation Description is used in the equation budget report to describe the equation.  Enter this for the output variable.  This is basically just a comment.  Note:  The input variable descriptions are taken from the Parameter Name column.</a:t>
          </a:r>
        </a:p>
        <a:p>
          <a:r>
            <a:rPr lang="en-US" sz="1000">
              <a:effectLst/>
              <a:latin typeface="Arial" panose="020B0604020202020204" pitchFamily="34" charset="0"/>
              <a:ea typeface="+mn-ea"/>
              <a:cs typeface="Arial" panose="020B0604020202020204" pitchFamily="34" charset="0"/>
            </a:rPr>
            <a:t> </a:t>
          </a:r>
        </a:p>
        <a:p>
          <a:r>
            <a:rPr lang="en-US" sz="1000">
              <a:effectLst/>
              <a:latin typeface="Arial" panose="020B0604020202020204" pitchFamily="34" charset="0"/>
              <a:ea typeface="+mn-ea"/>
              <a:cs typeface="Arial" panose="020B0604020202020204" pitchFamily="34" charset="0"/>
            </a:rPr>
            <a:t>When equations are identified, the Uncertainty Tool button will show the EqBudget tab which does the partial derivatives of the equation identified in the Measurement Equation Code/Values column.  This tab also supports correlations between the input variables.</a:t>
          </a: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Risk Analysis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a:spcBef>
              <a:spcPts val="0"/>
            </a:spcBef>
            <a:spcAft>
              <a:spcPts val="0"/>
            </a:spcAft>
          </a:pPr>
          <a:r>
            <a:rPr lang="en-US" sz="1000">
              <a:solidFill>
                <a:srgbClr val="000000"/>
              </a:solidFill>
              <a:effectLst/>
              <a:latin typeface="Arial"/>
              <a:ea typeface="+mn-ea"/>
            </a:rPr>
            <a:t>The Risk Tool button provides a risk analysis and recommends guard bands, as appropriate.  Pressing this button opens one of two reports (tabs):</a:t>
          </a:r>
          <a:endParaRPr lang="en-US" sz="1200">
            <a:effectLst/>
            <a:latin typeface="Times New Roman"/>
            <a:ea typeface="Times New Roman"/>
          </a:endParaRPr>
        </a:p>
        <a:p>
          <a:pPr marL="0" marR="0">
            <a:spcBef>
              <a:spcPts val="0"/>
            </a:spcBef>
            <a:spcAft>
              <a:spcPts val="0"/>
            </a:spcAft>
          </a:pPr>
          <a:r>
            <a:rPr lang="en-US" sz="1000">
              <a:solidFill>
                <a:srgbClr val="000000"/>
              </a:solidFill>
              <a:effectLst/>
              <a:latin typeface="Arial"/>
              <a:ea typeface="+mn-ea"/>
            </a:rPr>
            <a:t> </a:t>
          </a:r>
          <a:endParaRPr lang="en-US" sz="1200">
            <a:effectLst/>
            <a:latin typeface="Times New Roman"/>
            <a:ea typeface="Times New Roman"/>
          </a:endParaRPr>
        </a:p>
        <a:p>
          <a:pPr marL="0" marR="0">
            <a:lnSpc>
              <a:spcPts val="1100"/>
            </a:lnSpc>
            <a:spcBef>
              <a:spcPts val="0"/>
            </a:spcBef>
            <a:spcAft>
              <a:spcPts val="0"/>
            </a:spcAft>
          </a:pPr>
          <a:r>
            <a:rPr lang="en-US" sz="1000" b="1">
              <a:solidFill>
                <a:srgbClr val="000000"/>
              </a:solidFill>
              <a:effectLst/>
              <a:latin typeface="Arial"/>
              <a:ea typeface="+mn-ea"/>
            </a:rPr>
            <a:t>Risk With Measured REOP </a:t>
          </a:r>
          <a:r>
            <a:rPr lang="en-US" sz="1000">
              <a:solidFill>
                <a:srgbClr val="000000"/>
              </a:solidFill>
              <a:effectLst/>
              <a:latin typeface="+mn-lt"/>
              <a:ea typeface="+mn-ea"/>
              <a:cs typeface="+mn-cs"/>
            </a:rPr>
            <a:t>– </a:t>
          </a:r>
          <a:r>
            <a:rPr lang="en-US" sz="1000">
              <a:solidFill>
                <a:srgbClr val="000000"/>
              </a:solidFill>
              <a:effectLst/>
              <a:latin typeface="Arial"/>
              <a:ea typeface="+mn-ea"/>
            </a:rPr>
            <a:t>This tool calculates risk (PFA, etc.), guard band multipliers, and calibration interval effects assuming an REOP measured using calibration results with an existing calculated TUR.  Use this to evaluate in-service equipment with calibration data.</a:t>
          </a:r>
          <a:endParaRPr lang="en-US" sz="1200">
            <a:effectLst/>
            <a:latin typeface="Times New Roman"/>
            <a:ea typeface="Times New Roman"/>
          </a:endParaRPr>
        </a:p>
        <a:p>
          <a:pPr marL="0" marR="0">
            <a:lnSpc>
              <a:spcPts val="1100"/>
            </a:lnSpc>
            <a:spcBef>
              <a:spcPts val="0"/>
            </a:spcBef>
            <a:spcAft>
              <a:spcPts val="0"/>
            </a:spcAft>
          </a:pPr>
          <a:r>
            <a:rPr lang="en-US" sz="1100">
              <a:effectLst/>
              <a:latin typeface="Times New Roman"/>
              <a:ea typeface="Times New Roman"/>
            </a:rPr>
            <a:t> </a:t>
          </a:r>
          <a:endParaRPr lang="en-US" sz="1200">
            <a:effectLst/>
            <a:latin typeface="Times New Roman"/>
            <a:ea typeface="Times New Roman"/>
          </a:endParaRPr>
        </a:p>
        <a:p>
          <a:pPr marL="0" marR="0">
            <a:lnSpc>
              <a:spcPts val="1000"/>
            </a:lnSpc>
            <a:spcBef>
              <a:spcPts val="0"/>
            </a:spcBef>
            <a:spcAft>
              <a:spcPts val="0"/>
            </a:spcAft>
          </a:pPr>
          <a:r>
            <a:rPr lang="en-US" sz="1000" b="1">
              <a:solidFill>
                <a:srgbClr val="000000"/>
              </a:solidFill>
              <a:effectLst/>
              <a:latin typeface="Arial"/>
              <a:ea typeface="+mn-ea"/>
            </a:rPr>
            <a:t>Risk With Assumed REOP </a:t>
          </a:r>
          <a:r>
            <a:rPr lang="en-US" sz="1000">
              <a:solidFill>
                <a:srgbClr val="000000"/>
              </a:solidFill>
              <a:effectLst/>
              <a:latin typeface="+mn-lt"/>
              <a:ea typeface="+mn-ea"/>
              <a:cs typeface="+mn-cs"/>
            </a:rPr>
            <a:t>– </a:t>
          </a:r>
          <a:r>
            <a:rPr lang="en-US" sz="1000">
              <a:solidFill>
                <a:srgbClr val="000000"/>
              </a:solidFill>
              <a:effectLst/>
              <a:latin typeface="Arial"/>
              <a:ea typeface="+mn-ea"/>
            </a:rPr>
            <a:t>This tool calculates risk (PFA, etc.), guard band multipliers, and calibration interval effects with an REOP that is assumed will be achieved if an assumed TUR is needed to achieve the Measurement Reliability (EOP Meas Rel).  Use this to design test requirements.</a:t>
          </a:r>
          <a:endParaRPr lang="en-US" sz="1200">
            <a:effectLst/>
            <a:latin typeface="Times New Roman"/>
            <a:ea typeface="Times New Roman"/>
          </a:endParaRPr>
        </a:p>
        <a:p>
          <a:pPr marL="0" marR="0">
            <a:lnSpc>
              <a:spcPts val="1000"/>
            </a:lnSpc>
            <a:spcBef>
              <a:spcPts val="0"/>
            </a:spcBef>
            <a:spcAft>
              <a:spcPts val="0"/>
            </a:spcAft>
          </a:pPr>
          <a:r>
            <a:rPr lang="en-US" sz="1000">
              <a:solidFill>
                <a:srgbClr val="000000"/>
              </a:solidFill>
              <a:effectLst/>
              <a:latin typeface="Arial"/>
              <a:ea typeface="+mn-ea"/>
            </a:rPr>
            <a:t> </a:t>
          </a:r>
          <a:endParaRPr lang="en-US" sz="1200">
            <a:effectLst/>
            <a:latin typeface="Times New Roman"/>
            <a:ea typeface="Times New Roman"/>
          </a:endParaRPr>
        </a:p>
        <a:p>
          <a:pPr marL="0" marR="0">
            <a:lnSpc>
              <a:spcPts val="1000"/>
            </a:lnSpc>
            <a:spcBef>
              <a:spcPts val="0"/>
            </a:spcBef>
            <a:spcAft>
              <a:spcPts val="0"/>
            </a:spcAft>
          </a:pPr>
          <a:r>
            <a:rPr lang="en-US" sz="1000" b="1">
              <a:solidFill>
                <a:srgbClr val="000000"/>
              </a:solidFill>
              <a:effectLst/>
              <a:latin typeface="Arial"/>
              <a:ea typeface="+mn-ea"/>
            </a:rPr>
            <a:t>TUR Needed For Meas Rel (Can Be Blank)</a:t>
          </a:r>
          <a:r>
            <a:rPr lang="en-US" sz="1000">
              <a:solidFill>
                <a:srgbClr val="000000"/>
              </a:solidFill>
              <a:effectLst/>
              <a:latin typeface="Arial"/>
              <a:ea typeface="+mn-ea"/>
            </a:rPr>
            <a:t> – This column provides the TUR needed to achieve the EOP Measurement Reliability (EOP Meas Rel column.  When a value is provided, the “Risk With Assumed REOP” report is opened.  If no value is provided (Can Be Blank), the “Risk With Measured REOP” report is opened.</a:t>
          </a:r>
          <a:endParaRPr lang="en-US" sz="1200">
            <a:effectLst/>
            <a:latin typeface="Times New Roman"/>
            <a:ea typeface="Times New Roman"/>
          </a:endParaRPr>
        </a:p>
        <a:p>
          <a:pPr marL="0" marR="0">
            <a:lnSpc>
              <a:spcPts val="1000"/>
            </a:lnSpc>
            <a:spcBef>
              <a:spcPts val="0"/>
            </a:spcBef>
            <a:spcAft>
              <a:spcPts val="0"/>
            </a:spcAft>
          </a:pPr>
          <a:r>
            <a:rPr lang="en-US" sz="1000">
              <a:solidFill>
                <a:srgbClr val="000000"/>
              </a:solidFill>
              <a:effectLst/>
              <a:latin typeface="Arial"/>
              <a:ea typeface="+mn-ea"/>
            </a:rPr>
            <a:t> </a:t>
          </a:r>
          <a:endParaRPr lang="en-US" sz="1200">
            <a:effectLst/>
            <a:latin typeface="Times New Roman"/>
            <a:ea typeface="Times New Roman"/>
          </a:endParaRPr>
        </a:p>
        <a:p>
          <a:pPr marL="0" marR="0">
            <a:lnSpc>
              <a:spcPts val="1000"/>
            </a:lnSpc>
            <a:spcBef>
              <a:spcPts val="0"/>
            </a:spcBef>
            <a:spcAft>
              <a:spcPts val="0"/>
            </a:spcAft>
          </a:pPr>
          <a:r>
            <a:rPr lang="en-US" sz="1000" b="1">
              <a:solidFill>
                <a:srgbClr val="000000"/>
              </a:solidFill>
              <a:effectLst/>
              <a:latin typeface="Arial"/>
              <a:ea typeface="+mn-ea"/>
            </a:rPr>
            <a:t>Show Risk View (Or Undo)</a:t>
          </a:r>
          <a:r>
            <a:rPr lang="en-US" sz="1000">
              <a:solidFill>
                <a:srgbClr val="000000"/>
              </a:solidFill>
              <a:effectLst/>
              <a:latin typeface="Arial"/>
              <a:ea typeface="+mn-ea"/>
            </a:rPr>
            <a:t> – This button provides a view of the columns with the accuracy ratio (TAR, TUR), risk, (PFA, PFR), and guard band columns by hiding the equation columns.  Use of any of the Move To buttons (First Column, etc.), or a repress of this button will undo this view showing the hidden columns.  Use this button to get a single screen summary of the uncertainty and risk results.</a:t>
          </a:r>
          <a:endParaRPr lang="en-US" sz="1200">
            <a:effectLst/>
            <a:latin typeface="Times New Roman"/>
            <a:ea typeface="Times New Roman"/>
          </a:endParaRPr>
        </a:p>
        <a:p>
          <a:pPr marL="0" marR="0">
            <a:lnSpc>
              <a:spcPts val="1000"/>
            </a:lnSpc>
            <a:spcBef>
              <a:spcPts val="0"/>
            </a:spcBef>
            <a:spcAft>
              <a:spcPts val="0"/>
            </a:spcAft>
          </a:pPr>
          <a:r>
            <a:rPr lang="en-US" sz="1000">
              <a:solidFill>
                <a:srgbClr val="000000"/>
              </a:solidFill>
              <a:effectLst/>
              <a:latin typeface="Arial"/>
              <a:ea typeface="+mn-ea"/>
            </a:rPr>
            <a:t> </a:t>
          </a:r>
          <a:endParaRPr lang="en-US" sz="1200">
            <a:effectLst/>
            <a:latin typeface="Times New Roman"/>
            <a:ea typeface="Times New Roman"/>
          </a:endParaRPr>
        </a:p>
        <a:p>
          <a:pPr marL="0" marR="0">
            <a:lnSpc>
              <a:spcPts val="1000"/>
            </a:lnSpc>
            <a:spcBef>
              <a:spcPts val="0"/>
            </a:spcBef>
            <a:spcAft>
              <a:spcPts val="0"/>
            </a:spcAft>
          </a:pPr>
          <a:r>
            <a:rPr lang="en-US" sz="1000" b="1">
              <a:solidFill>
                <a:srgbClr val="000000"/>
              </a:solidFill>
              <a:effectLst/>
              <a:latin typeface="Arial"/>
              <a:ea typeface="+mn-ea"/>
            </a:rPr>
            <a:t>Risk Comments</a:t>
          </a:r>
          <a:r>
            <a:rPr lang="en-US" sz="1000">
              <a:solidFill>
                <a:srgbClr val="000000"/>
              </a:solidFill>
              <a:effectLst/>
              <a:latin typeface="Arial"/>
              <a:ea typeface="+mn-ea"/>
            </a:rPr>
            <a:t> – This column provides a location to describe actions made due to the risk results.  For example, it might recommend applying guard bands.  The comments also show in the risk reports and can be modified there.</a:t>
          </a:r>
          <a:endParaRPr lang="en-US" sz="1200">
            <a:effectLst/>
            <a:latin typeface="Times New Roman"/>
            <a:ea typeface="Times New Roman"/>
          </a:endParaRPr>
        </a:p>
        <a:p>
          <a:pPr marL="0" marR="0">
            <a:spcBef>
              <a:spcPts val="0"/>
            </a:spcBef>
            <a:spcAft>
              <a:spcPts val="0"/>
            </a:spcAft>
          </a:pPr>
          <a:r>
            <a:rPr lang="en-US" sz="1200">
              <a:effectLst/>
              <a:latin typeface="Times New Roman"/>
              <a:ea typeface="Times New Roman"/>
            </a:rPr>
            <a:t> </a:t>
          </a:r>
        </a:p>
        <a:p>
          <a:pPr algn="l" rtl="0">
            <a:defRPr sz="1000"/>
          </a:pPr>
          <a:endParaRPr lang="en-US" sz="10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9</xdr:col>
          <xdr:colOff>161925</xdr:colOff>
          <xdr:row>2</xdr:row>
          <xdr:rowOff>0</xdr:rowOff>
        </xdr:from>
        <xdr:to>
          <xdr:col>10</xdr:col>
          <xdr:colOff>581025</xdr:colOff>
          <xdr:row>2</xdr:row>
          <xdr:rowOff>619125</xdr:rowOff>
        </xdr:to>
        <xdr:sp macro="" textlink="">
          <xdr:nvSpPr>
            <xdr:cNvPr id="1025" name="btnSaveMU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as MUA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137160</xdr:colOff>
      <xdr:row>1</xdr:row>
      <xdr:rowOff>0</xdr:rowOff>
    </xdr:from>
    <xdr:to>
      <xdr:col>9</xdr:col>
      <xdr:colOff>480060</xdr:colOff>
      <xdr:row>51</xdr:row>
      <xdr:rowOff>129540</xdr:rowOff>
    </xdr:to>
    <xdr:sp macro="" textlink="">
      <xdr:nvSpPr>
        <xdr:cNvPr id="2" name="txtNotes">
          <a:extLst>
            <a:ext uri="{FF2B5EF4-FFF2-40B4-BE49-F238E27FC236}">
              <a16:creationId xmlns:a16="http://schemas.microsoft.com/office/drawing/2014/main" id="{00000000-0008-0000-0100-000002000000}"/>
            </a:ext>
          </a:extLst>
        </xdr:cNvPr>
        <xdr:cNvSpPr txBox="1"/>
      </xdr:nvSpPr>
      <xdr:spPr>
        <a:xfrm>
          <a:off x="137160" y="342900"/>
          <a:ext cx="5943600" cy="8067040"/>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tIns="182880" rIns="182880" bIns="182880" rtlCol="0" anchor="t"/>
        <a:lstStyle/>
        <a:p>
          <a:endParaRPr lang="en-US" sz="11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28575</xdr:colOff>
          <xdr:row>3</xdr:row>
          <xdr:rowOff>523875</xdr:rowOff>
        </xdr:from>
        <xdr:to>
          <xdr:col>16</xdr:col>
          <xdr:colOff>9525</xdr:colOff>
          <xdr:row>3</xdr:row>
          <xdr:rowOff>847725</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0200-000001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Uncertainty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xdr:row>
          <xdr:rowOff>523875</xdr:rowOff>
        </xdr:from>
        <xdr:to>
          <xdr:col>13</xdr:col>
          <xdr:colOff>619125</xdr:colOff>
          <xdr:row>3</xdr:row>
          <xdr:rowOff>847725</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0200-000002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TMDE Tolerance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3</xdr:row>
          <xdr:rowOff>533400</xdr:rowOff>
        </xdr:from>
        <xdr:to>
          <xdr:col>10</xdr:col>
          <xdr:colOff>600075</xdr:colOff>
          <xdr:row>3</xdr:row>
          <xdr:rowOff>847725</xdr:rowOff>
        </xdr:to>
        <xdr:sp macro="" textlink="">
          <xdr:nvSpPr>
            <xdr:cNvPr id="691203" name="Button 3" hidden="1">
              <a:extLst>
                <a:ext uri="{63B3BB69-23CF-44E3-9099-C40C66FF867C}">
                  <a14:compatExt spid="_x0000_s691203"/>
                </a:ext>
                <a:ext uri="{FF2B5EF4-FFF2-40B4-BE49-F238E27FC236}">
                  <a16:creationId xmlns:a16="http://schemas.microsoft.com/office/drawing/2014/main" id="{00000000-0008-0000-0200-000003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UUT Tolerance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3</xdr:row>
          <xdr:rowOff>200025</xdr:rowOff>
        </xdr:from>
        <xdr:to>
          <xdr:col>5</xdr:col>
          <xdr:colOff>771525</xdr:colOff>
          <xdr:row>3</xdr:row>
          <xdr:rowOff>523875</xdr:rowOff>
        </xdr:to>
        <xdr:sp macro="" textlink="">
          <xdr:nvSpPr>
            <xdr:cNvPr id="691204" name="Button 4" hidden="1">
              <a:extLst>
                <a:ext uri="{63B3BB69-23CF-44E3-9099-C40C66FF867C}">
                  <a14:compatExt spid="_x0000_s691204"/>
                </a:ext>
                <a:ext uri="{FF2B5EF4-FFF2-40B4-BE49-F238E27FC236}">
                  <a16:creationId xmlns:a16="http://schemas.microsoft.com/office/drawing/2014/main" id="{00000000-0008-0000-0200-000004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3</xdr:row>
          <xdr:rowOff>542925</xdr:rowOff>
        </xdr:from>
        <xdr:to>
          <xdr:col>5</xdr:col>
          <xdr:colOff>771525</xdr:colOff>
          <xdr:row>3</xdr:row>
          <xdr:rowOff>847725</xdr:rowOff>
        </xdr:to>
        <xdr:sp macro="" textlink="">
          <xdr:nvSpPr>
            <xdr:cNvPr id="691205" name="Button 5" hidden="1">
              <a:extLst>
                <a:ext uri="{63B3BB69-23CF-44E3-9099-C40C66FF867C}">
                  <a14:compatExt spid="_x0000_s691205"/>
                </a:ext>
                <a:ext uri="{FF2B5EF4-FFF2-40B4-BE49-F238E27FC236}">
                  <a16:creationId xmlns:a16="http://schemas.microsoft.com/office/drawing/2014/main" id="{00000000-0008-0000-0200-000005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3</xdr:row>
          <xdr:rowOff>200025</xdr:rowOff>
        </xdr:from>
        <xdr:to>
          <xdr:col>3</xdr:col>
          <xdr:colOff>371475</xdr:colOff>
          <xdr:row>3</xdr:row>
          <xdr:rowOff>523875</xdr:rowOff>
        </xdr:to>
        <xdr:sp macro="" textlink="">
          <xdr:nvSpPr>
            <xdr:cNvPr id="691206" name="Button 6" hidden="1">
              <a:extLst>
                <a:ext uri="{63B3BB69-23CF-44E3-9099-C40C66FF867C}">
                  <a14:compatExt spid="_x0000_s691206"/>
                </a:ext>
                <a:ext uri="{FF2B5EF4-FFF2-40B4-BE49-F238E27FC236}">
                  <a16:creationId xmlns:a16="http://schemas.microsoft.com/office/drawing/2014/main" id="{00000000-0008-0000-0200-000006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3</xdr:row>
          <xdr:rowOff>542925</xdr:rowOff>
        </xdr:from>
        <xdr:to>
          <xdr:col>3</xdr:col>
          <xdr:colOff>371475</xdr:colOff>
          <xdr:row>3</xdr:row>
          <xdr:rowOff>847725</xdr:rowOff>
        </xdr:to>
        <xdr:sp macro="" textlink="">
          <xdr:nvSpPr>
            <xdr:cNvPr id="691207" name="Button 7" hidden="1">
              <a:extLst>
                <a:ext uri="{63B3BB69-23CF-44E3-9099-C40C66FF867C}">
                  <a14:compatExt spid="_x0000_s691207"/>
                </a:ext>
                <a:ext uri="{FF2B5EF4-FFF2-40B4-BE49-F238E27FC236}">
                  <a16:creationId xmlns:a16="http://schemas.microsoft.com/office/drawing/2014/main" id="{00000000-0008-0000-0200-000007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Paste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3</xdr:row>
          <xdr:rowOff>200025</xdr:rowOff>
        </xdr:from>
        <xdr:to>
          <xdr:col>4</xdr:col>
          <xdr:colOff>695325</xdr:colOff>
          <xdr:row>3</xdr:row>
          <xdr:rowOff>523875</xdr:rowOff>
        </xdr:to>
        <xdr:sp macro="" textlink="">
          <xdr:nvSpPr>
            <xdr:cNvPr id="691208" name="Button 8" hidden="1">
              <a:extLst>
                <a:ext uri="{63B3BB69-23CF-44E3-9099-C40C66FF867C}">
                  <a14:compatExt spid="_x0000_s691208"/>
                </a:ext>
                <a:ext uri="{FF2B5EF4-FFF2-40B4-BE49-F238E27FC236}">
                  <a16:creationId xmlns:a16="http://schemas.microsoft.com/office/drawing/2014/main" id="{00000000-0008-0000-0200-000008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Insert Row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3</xdr:row>
          <xdr:rowOff>542925</xdr:rowOff>
        </xdr:from>
        <xdr:to>
          <xdr:col>4</xdr:col>
          <xdr:colOff>695325</xdr:colOff>
          <xdr:row>3</xdr:row>
          <xdr:rowOff>847725</xdr:rowOff>
        </xdr:to>
        <xdr:sp macro="" textlink="">
          <xdr:nvSpPr>
            <xdr:cNvPr id="691209" name="Button 9" hidden="1">
              <a:extLst>
                <a:ext uri="{63B3BB69-23CF-44E3-9099-C40C66FF867C}">
                  <a14:compatExt spid="_x0000_s691209"/>
                </a:ext>
                <a:ext uri="{FF2B5EF4-FFF2-40B4-BE49-F238E27FC236}">
                  <a16:creationId xmlns:a16="http://schemas.microsoft.com/office/drawing/2014/main" id="{00000000-0008-0000-0200-000009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Insert Row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533400</xdr:rowOff>
        </xdr:from>
        <xdr:to>
          <xdr:col>2</xdr:col>
          <xdr:colOff>257175</xdr:colOff>
          <xdr:row>3</xdr:row>
          <xdr:rowOff>847725</xdr:rowOff>
        </xdr:to>
        <xdr:sp macro="" textlink="">
          <xdr:nvSpPr>
            <xdr:cNvPr id="691210" name="Button 10" hidden="1">
              <a:extLst>
                <a:ext uri="{63B3BB69-23CF-44E3-9099-C40C66FF867C}">
                  <a14:compatExt spid="_x0000_s691210"/>
                </a:ext>
                <a:ext uri="{FF2B5EF4-FFF2-40B4-BE49-F238E27FC236}">
                  <a16:creationId xmlns:a16="http://schemas.microsoft.com/office/drawing/2014/main" id="{00000000-0008-0000-0200-00000A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Update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xdr:rowOff>
        </xdr:from>
        <xdr:to>
          <xdr:col>0</xdr:col>
          <xdr:colOff>885825</xdr:colOff>
          <xdr:row>4</xdr:row>
          <xdr:rowOff>257175</xdr:rowOff>
        </xdr:to>
        <xdr:sp macro="" textlink="">
          <xdr:nvSpPr>
            <xdr:cNvPr id="691211" name="Button 11" hidden="1">
              <a:extLst>
                <a:ext uri="{63B3BB69-23CF-44E3-9099-C40C66FF867C}">
                  <a14:compatExt spid="_x0000_s691211"/>
                </a:ext>
                <a:ext uri="{FF2B5EF4-FFF2-40B4-BE49-F238E27FC236}">
                  <a16:creationId xmlns:a16="http://schemas.microsoft.com/office/drawing/2014/main" id="{00000000-0008-0000-0200-00000B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276225</xdr:rowOff>
        </xdr:from>
        <xdr:to>
          <xdr:col>0</xdr:col>
          <xdr:colOff>885825</xdr:colOff>
          <xdr:row>4</xdr:row>
          <xdr:rowOff>523875</xdr:rowOff>
        </xdr:to>
        <xdr:sp macro="" textlink="">
          <xdr:nvSpPr>
            <xdr:cNvPr id="691212" name="Button 12" hidden="1">
              <a:extLst>
                <a:ext uri="{63B3BB69-23CF-44E3-9099-C40C66FF867C}">
                  <a14:compatExt spid="_x0000_s691212"/>
                </a:ext>
                <a:ext uri="{FF2B5EF4-FFF2-40B4-BE49-F238E27FC236}">
                  <a16:creationId xmlns:a16="http://schemas.microsoft.com/office/drawing/2014/main" id="{00000000-0008-0000-0200-00000C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Risk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xdr:row>
          <xdr:rowOff>638175</xdr:rowOff>
        </xdr:from>
        <xdr:to>
          <xdr:col>0</xdr:col>
          <xdr:colOff>885825</xdr:colOff>
          <xdr:row>3</xdr:row>
          <xdr:rowOff>866775</xdr:rowOff>
        </xdr:to>
        <xdr:sp macro="" textlink="">
          <xdr:nvSpPr>
            <xdr:cNvPr id="691213" name="Button 13" hidden="1">
              <a:extLst>
                <a:ext uri="{63B3BB69-23CF-44E3-9099-C40C66FF867C}">
                  <a14:compatExt spid="_x0000_s691213"/>
                </a:ext>
                <a:ext uri="{FF2B5EF4-FFF2-40B4-BE49-F238E27FC236}">
                  <a16:creationId xmlns:a16="http://schemas.microsoft.com/office/drawing/2014/main" id="{00000000-0008-0000-0200-00000D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 Tol/Unc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xdr:row>
          <xdr:rowOff>352425</xdr:rowOff>
        </xdr:from>
        <xdr:to>
          <xdr:col>0</xdr:col>
          <xdr:colOff>885825</xdr:colOff>
          <xdr:row>3</xdr:row>
          <xdr:rowOff>600075</xdr:rowOff>
        </xdr:to>
        <xdr:sp macro="" textlink="">
          <xdr:nvSpPr>
            <xdr:cNvPr id="691214" name="Button 14" hidden="1">
              <a:extLst>
                <a:ext uri="{63B3BB69-23CF-44E3-9099-C40C66FF867C}">
                  <a14:compatExt spid="_x0000_s691214"/>
                </a:ext>
                <a:ext uri="{FF2B5EF4-FFF2-40B4-BE49-F238E27FC236}">
                  <a16:creationId xmlns:a16="http://schemas.microsoft.com/office/drawing/2014/main" id="{00000000-0008-0000-0200-00000E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First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2981325</xdr:colOff>
          <xdr:row>3</xdr:row>
          <xdr:rowOff>523875</xdr:rowOff>
        </xdr:from>
        <xdr:to>
          <xdr:col>21</xdr:col>
          <xdr:colOff>76200</xdr:colOff>
          <xdr:row>3</xdr:row>
          <xdr:rowOff>847725</xdr:rowOff>
        </xdr:to>
        <xdr:sp macro="" textlink="">
          <xdr:nvSpPr>
            <xdr:cNvPr id="691215" name="Button 15" hidden="1">
              <a:extLst>
                <a:ext uri="{63B3BB69-23CF-44E3-9099-C40C66FF867C}">
                  <a14:compatExt spid="_x0000_s691215"/>
                </a:ext>
                <a:ext uri="{FF2B5EF4-FFF2-40B4-BE49-F238E27FC236}">
                  <a16:creationId xmlns:a16="http://schemas.microsoft.com/office/drawing/2014/main" id="{00000000-0008-0000-0200-00000F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Uncertainty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28575</xdr:colOff>
          <xdr:row>3</xdr:row>
          <xdr:rowOff>523875</xdr:rowOff>
        </xdr:from>
        <xdr:to>
          <xdr:col>24</xdr:col>
          <xdr:colOff>314325</xdr:colOff>
          <xdr:row>3</xdr:row>
          <xdr:rowOff>847725</xdr:rowOff>
        </xdr:to>
        <xdr:sp macro="" textlink="">
          <xdr:nvSpPr>
            <xdr:cNvPr id="691216" name="Button 16" hidden="1">
              <a:extLst>
                <a:ext uri="{63B3BB69-23CF-44E3-9099-C40C66FF867C}">
                  <a14:compatExt spid="_x0000_s691216"/>
                </a:ext>
                <a:ext uri="{FF2B5EF4-FFF2-40B4-BE49-F238E27FC236}">
                  <a16:creationId xmlns:a16="http://schemas.microsoft.com/office/drawing/2014/main" id="{00000000-0008-0000-0200-000010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RiskTool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3</xdr:row>
          <xdr:rowOff>85725</xdr:rowOff>
        </xdr:from>
        <xdr:to>
          <xdr:col>10</xdr:col>
          <xdr:colOff>600075</xdr:colOff>
          <xdr:row>3</xdr:row>
          <xdr:rowOff>495300</xdr:rowOff>
        </xdr:to>
        <xdr:sp macro="" textlink="">
          <xdr:nvSpPr>
            <xdr:cNvPr id="691217" name="Button 17" hidden="1">
              <a:extLst>
                <a:ext uri="{63B3BB69-23CF-44E3-9099-C40C66FF867C}">
                  <a14:compatExt spid="_x0000_s691217"/>
                </a:ext>
                <a:ext uri="{FF2B5EF4-FFF2-40B4-BE49-F238E27FC236}">
                  <a16:creationId xmlns:a16="http://schemas.microsoft.com/office/drawing/2014/main" id="{00000000-0008-0000-0200-000011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UUT Equation</a:t>
              </a:r>
            </a:p>
            <a:p>
              <a:pPr algn="ctr" rtl="0">
                <a:defRPr sz="1000"/>
              </a:pPr>
              <a:r>
                <a:rPr lang="en-US" sz="900" b="0" i="0" u="none" strike="noStrike" baseline="0">
                  <a:solidFill>
                    <a:srgbClr val="000000"/>
                  </a:solidFill>
                  <a:latin typeface="Arial"/>
                  <a:cs typeface="Arial"/>
                </a:rPr>
                <a:t>Tolerance Tool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7620</xdr:colOff>
      <xdr:row>42</xdr:row>
      <xdr:rowOff>0</xdr:rowOff>
    </xdr:from>
    <xdr:to>
      <xdr:col>7</xdr:col>
      <xdr:colOff>1379220</xdr:colOff>
      <xdr:row>100</xdr:row>
      <xdr:rowOff>114300</xdr:rowOff>
    </xdr:to>
    <xdr:sp macro="" textlink="">
      <xdr:nvSpPr>
        <xdr:cNvPr id="2" name="Text Box 3">
          <a:extLst>
            <a:ext uri="{FF2B5EF4-FFF2-40B4-BE49-F238E27FC236}">
              <a16:creationId xmlns:a16="http://schemas.microsoft.com/office/drawing/2014/main" id="{00000000-0008-0000-0300-000002000000}"/>
            </a:ext>
          </a:extLst>
        </xdr:cNvPr>
        <xdr:cNvSpPr txBox="1">
          <a:spLocks noChangeArrowheads="1"/>
        </xdr:cNvSpPr>
      </xdr:nvSpPr>
      <xdr:spPr bwMode="auto">
        <a:xfrm>
          <a:off x="1089660" y="9189720"/>
          <a:ext cx="9471660" cy="983742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Measurement Equation Tolerance Analysis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worksheet provides the capability of combining input measurement tolerances into an equation tolerance for UUTs.  The measurement equation is input as an Excel function of the input variables.  The tolerances for the input variables are obtained from individual uncertainty budgets automatically, though these can be modified.  The Normal k=1.96 Error Distribution is assumed, but this can be changed if desired.</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Correlations between input variables are supported by pressing the "Correlation Matrix"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output equation tolerance is applied to the UUT tolerances.  "Cancel" returns without updating the tolerances.  "Store and Return" returns the results of this analysis.</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inputs for the equation tolerances are almost exclusively entered on the document tab prior to choosing the UUT Equation Tolerance Tool, as follows: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Measurement Equation Input Columns (from the Test Points Tab):</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Measurement Equation Input Variable:  Input variables are identified by specifiying a number in the No Of Parameter Variables column.</a:t>
          </a:r>
        </a:p>
        <a:p>
          <a:pPr algn="l" rtl="0">
            <a:defRPr sz="1000"/>
          </a:pPr>
          <a:r>
            <a:rPr lang="en-US" sz="1000" b="0" i="0" u="none" strike="noStrike" baseline="0">
              <a:solidFill>
                <a:srgbClr val="000000"/>
              </a:solidFill>
              <a:latin typeface="Arial"/>
              <a:cs typeface="Arial"/>
            </a:rPr>
            <a:t>    Measured Value:  Enter the measured value for each input variable in the Measurement Equation Code/Values column.</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a:t>
          </a:r>
          <a:r>
            <a:rPr kumimoji="0" lang="en-US" sz="1000" b="1" i="0" u="none" strike="noStrike" kern="0" cap="none" spc="0" normalizeH="0" baseline="0" noProof="0">
              <a:ln>
                <a:noFill/>
              </a:ln>
              <a:solidFill>
                <a:srgbClr val="000000"/>
              </a:solidFill>
              <a:effectLst/>
              <a:uLnTx/>
              <a:uFillTx/>
              <a:latin typeface="Arial"/>
              <a:cs typeface="Arial"/>
            </a:rPr>
            <a:t>Note</a:t>
          </a:r>
          <a:r>
            <a:rPr kumimoji="0" lang="en-US" sz="1000" b="0" i="0" u="none" strike="noStrike" kern="0" cap="none" spc="0" normalizeH="0" baseline="0" noProof="0">
              <a:ln>
                <a:noFill/>
              </a:ln>
              <a:solidFill>
                <a:srgbClr val="000000"/>
              </a:solidFill>
              <a:effectLst/>
              <a:uLnTx/>
              <a:uFillTx/>
              <a:latin typeface="Arial"/>
              <a:cs typeface="Arial"/>
            </a:rPr>
            <a:t>:  UUT tolerances are required for each input variable.</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1" i="0" u="none" strike="noStrike" baseline="0">
              <a:solidFill>
                <a:srgbClr val="000000"/>
              </a:solidFill>
              <a:latin typeface="Arial"/>
              <a:cs typeface="Arial"/>
            </a:rPr>
            <a:t>Measurement Equation Columns</a:t>
          </a:r>
          <a:r>
            <a:rPr lang="en-US" sz="1000" b="1" i="0" baseline="0">
              <a:effectLst/>
              <a:latin typeface="+mn-lt"/>
              <a:ea typeface="+mn-ea"/>
              <a:cs typeface="+mn-cs"/>
            </a:rPr>
            <a:t> (from the Test Points Tab):</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Equation Value:  A text version of the measurement equation is specified in the Measurement Equation Description column.</a:t>
          </a:r>
        </a:p>
        <a:p>
          <a:pPr algn="l" rtl="0">
            <a:defRPr sz="1000"/>
          </a:pPr>
          <a:r>
            <a:rPr lang="en-US" sz="1000" b="0" i="0" u="none" strike="noStrike" baseline="0">
              <a:solidFill>
                <a:srgbClr val="000000"/>
              </a:solidFill>
              <a:latin typeface="Arial"/>
              <a:cs typeface="Arial"/>
            </a:rPr>
            <a:t>    Measurement Equation:  The Excel function of the input variables is given in the Measurement Equation Code/Values column.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The number of input variables must be entered in the No Of Parameter Variables column for the equation variable row.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outputs, in addition to the calculations discussed above include:</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Equation Tolerance Results: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Equation Combined Uncertainty:  Calculated using the Measurement Equation Inputs and the Taylor Expansion.</a:t>
          </a:r>
        </a:p>
        <a:p>
          <a:pPr algn="l" rtl="0">
            <a:defRPr sz="1000"/>
          </a:pPr>
          <a:r>
            <a:rPr lang="en-US" sz="1000" b="0" i="0" u="none" strike="noStrike" baseline="0">
              <a:solidFill>
                <a:srgbClr val="000000"/>
              </a:solidFill>
              <a:latin typeface="Arial"/>
              <a:cs typeface="Arial"/>
            </a:rPr>
            <a:t>    Uncertainty Confidence:  Enter the confidence level desired (usually 95%).</a:t>
          </a:r>
        </a:p>
        <a:p>
          <a:pPr algn="l" rtl="0">
            <a:defRPr sz="1000"/>
          </a:pPr>
          <a:r>
            <a:rPr lang="en-US" sz="1000" b="0" i="0" u="none" strike="noStrike" baseline="0">
              <a:solidFill>
                <a:srgbClr val="000000"/>
              </a:solidFill>
              <a:latin typeface="Arial"/>
              <a:cs typeface="Arial"/>
            </a:rPr>
            <a:t>    Coverage Factor:  Multiplier for the expanded uncertainty based on the t or Normal distributions as appropriate.</a:t>
          </a:r>
        </a:p>
        <a:p>
          <a:pPr algn="l" rtl="0">
            <a:defRPr sz="1000"/>
          </a:pPr>
          <a:r>
            <a:rPr lang="en-US" sz="1000" b="0" i="0" u="none" strike="noStrike" baseline="0">
              <a:solidFill>
                <a:srgbClr val="000000"/>
              </a:solidFill>
              <a:latin typeface="Arial"/>
              <a:cs typeface="Arial"/>
            </a:rPr>
            <a:t>    Equation Tolerance:  Tolerance limit calculated using the combined uncertainty results.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Equation Tolerance Example:</a:t>
          </a:r>
        </a:p>
        <a:p>
          <a:pPr algn="l" rtl="0">
            <a:defRPr sz="1000"/>
          </a:pPr>
          <a:r>
            <a:rPr lang="en-US" sz="1000" b="0" i="0" u="none" strike="noStrike" baseline="0">
              <a:solidFill>
                <a:srgbClr val="000000"/>
              </a:solidFill>
              <a:latin typeface="Arial"/>
              <a:cs typeface="Arial"/>
            </a:rPr>
            <a:t>    Measurement Equation:  Area = Length * Width</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Measurement Equation Input Columns for Length (on Test Points Tab):</a:t>
          </a:r>
        </a:p>
        <a:p>
          <a:pPr algn="l" rtl="0">
            <a:defRPr sz="1000"/>
          </a:pPr>
          <a:r>
            <a:rPr lang="en-US" sz="1000" b="0" i="0" u="none" strike="noStrike" baseline="0">
              <a:solidFill>
                <a:srgbClr val="000000"/>
              </a:solidFill>
              <a:latin typeface="Arial"/>
              <a:cs typeface="Arial"/>
            </a:rPr>
            <a:t>        Measurement Equation Input Variable:  Length specified as a Parameter Name.</a:t>
          </a:r>
        </a:p>
        <a:p>
          <a:pPr algn="l" rtl="0">
            <a:defRPr sz="1000"/>
          </a:pPr>
          <a:r>
            <a:rPr lang="en-US" sz="1000" b="0" i="0" u="none" strike="noStrike" baseline="0">
              <a:solidFill>
                <a:srgbClr val="000000"/>
              </a:solidFill>
              <a:latin typeface="Arial"/>
              <a:cs typeface="Arial"/>
            </a:rPr>
            <a:t>        </a:t>
          </a:r>
          <a:r>
            <a:rPr kumimoji="0" lang="en-US" sz="1000" b="0" i="0" u="none" strike="noStrike" kern="0" cap="none" spc="0" normalizeH="0" baseline="0">
              <a:ln>
                <a:noFill/>
              </a:ln>
              <a:solidFill>
                <a:srgbClr val="000000"/>
              </a:solidFill>
              <a:effectLst/>
              <a:uLnTx/>
              <a:uFillTx/>
              <a:latin typeface="Arial"/>
              <a:ea typeface="+mn-ea"/>
              <a:cs typeface="Arial"/>
            </a:rPr>
            <a:t>Measured</a:t>
          </a:r>
          <a:r>
            <a:rPr lang="en-US" sz="1000" b="0" i="0" u="none" strike="noStrike" baseline="0">
              <a:solidFill>
                <a:srgbClr val="000000"/>
              </a:solidFill>
              <a:latin typeface="Arial"/>
              <a:cs typeface="Arial"/>
            </a:rPr>
            <a:t> Value:  Enter the measured value for Length in Measurement Equation Code/Values column.</a:t>
          </a:r>
        </a:p>
        <a:p>
          <a:pPr algn="l" rtl="0">
            <a:defRPr sz="1000"/>
          </a:pPr>
          <a:r>
            <a:rPr lang="en-US" sz="1000" b="0" i="0" u="none" strike="noStrike" baseline="0">
              <a:solidFill>
                <a:srgbClr val="000000"/>
              </a:solidFill>
              <a:latin typeface="Arial"/>
              <a:cs typeface="Arial"/>
            </a:rPr>
            <a:t>        Length </a:t>
          </a:r>
          <a:r>
            <a:rPr kumimoji="0" lang="en-US" sz="1000" b="0" i="0" u="none" strike="noStrike" kern="0" cap="none" spc="0" normalizeH="0" baseline="0">
              <a:ln>
                <a:noFill/>
              </a:ln>
              <a:solidFill>
                <a:srgbClr val="000000"/>
              </a:solidFill>
              <a:effectLst/>
              <a:uLnTx/>
              <a:uFillTx/>
              <a:latin typeface="Arial"/>
              <a:ea typeface="+mn-ea"/>
              <a:cs typeface="Arial"/>
            </a:rPr>
            <a:t>Tolerance</a:t>
          </a:r>
          <a:r>
            <a:rPr lang="en-US" sz="1000" b="0" i="0" u="none" strike="noStrike" baseline="0">
              <a:solidFill>
                <a:srgbClr val="000000"/>
              </a:solidFill>
              <a:latin typeface="Arial"/>
              <a:cs typeface="Arial"/>
            </a:rPr>
            <a:t>:  A UUT tolerance analysis is done from the Document Tab using the "UUT Tolerance Tool" button.</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Measurement Equation Input Columns for Width (on Test Points Tab):</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Measurement Equation Input Variable:  Width specified as a Parameter Name.</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Measured Value:  Enter the measured value for Width in Measurement Equation Code/Values column.</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Width Tolerance:  A UUT tolerance analysis is done from the Document Tab using the "UUT Tolerance Tool" button.</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cs typeface="Arial"/>
          </a:endParaRPr>
        </a:p>
        <a:p>
          <a:pPr algn="l" rtl="0">
            <a:defRPr sz="1000"/>
          </a:pPr>
          <a:r>
            <a:rPr lang="en-US" sz="1000" b="0" i="0" u="none" strike="noStrike" baseline="0">
              <a:solidFill>
                <a:srgbClr val="000000"/>
              </a:solidFill>
              <a:latin typeface="Arial"/>
              <a:cs typeface="Arial"/>
            </a:rPr>
            <a:t>    Measurement Equation Columns (on Test Points Tab):</a:t>
          </a:r>
        </a:p>
        <a:p>
          <a:pPr algn="l" rtl="0">
            <a:defRPr sz="1000"/>
          </a:pPr>
          <a:r>
            <a:rPr lang="en-US" sz="1000" b="0" i="0" u="none" strike="noStrike" baseline="0">
              <a:solidFill>
                <a:srgbClr val="000000"/>
              </a:solidFill>
              <a:latin typeface="Arial"/>
              <a:cs typeface="Arial"/>
            </a:rPr>
            <a:t>        Measurement Equation Description:  Enter "Area = Length * Width" in the Measurement Equation Description column.</a:t>
          </a:r>
        </a:p>
        <a:p>
          <a:pPr algn="l" rtl="0">
            <a:defRPr sz="1000"/>
          </a:pPr>
          <a:r>
            <a:rPr lang="en-US" sz="1000" b="0" i="0" u="none" strike="noStrike" baseline="0">
              <a:solidFill>
                <a:srgbClr val="000000"/>
              </a:solidFill>
              <a:latin typeface="Arial"/>
              <a:cs typeface="Arial"/>
            </a:rPr>
            <a:t>        Measurement Equation:  Enter (e.g.) "= U7 * U8" in the Measurement Equation Code/Values column.</a:t>
          </a:r>
        </a:p>
        <a:p>
          <a:pPr algn="l" rtl="0">
            <a:defRPr sz="1000"/>
          </a:pPr>
          <a:r>
            <a:rPr lang="en-US" sz="1000" b="0" i="0" u="none" strike="noStrike" baseline="0">
              <a:solidFill>
                <a:srgbClr val="000000"/>
              </a:solidFill>
              <a:latin typeface="Arial"/>
              <a:cs typeface="Arial"/>
            </a:rPr>
            <a:t>        Input Variables:  Enter the number of varables to be used in this equation (2) in the No Of Parameter Variables column for Area.</a:t>
          </a:r>
        </a:p>
        <a:p>
          <a:pPr algn="l" rtl="0">
            <a:defRPr sz="1000"/>
          </a:pPr>
          <a:r>
            <a:rPr lang="en-US" sz="1000" b="0" i="0" u="none" strike="noStrike" baseline="0">
              <a:solidFill>
                <a:srgbClr val="000000"/>
              </a:solidFill>
              <a:latin typeface="Arial"/>
              <a:cs typeface="Arial"/>
            </a:rPr>
            <a:t>        Press the "UUT Equation Tolerance Tool" button while in the Area row to obtain the Measurement Equation Uncertainty Analysis Tab.</a:t>
          </a:r>
        </a:p>
        <a:p>
          <a:pPr algn="l" rtl="0">
            <a:defRPr sz="1000"/>
          </a:pPr>
          <a:endParaRPr lang="en-US" sz="1000" b="0" i="0" u="none" strike="noStrike" baseline="0">
            <a:solidFill>
              <a:srgbClr val="000000"/>
            </a:solidFill>
            <a:latin typeface="Arial"/>
            <a:cs typeface="Arial"/>
          </a:endParaRPr>
        </a:p>
        <a:p>
          <a:r>
            <a:rPr lang="en-US" sz="1000" b="1">
              <a:effectLst/>
              <a:latin typeface="Arial" panose="020B0604020202020204" pitchFamily="34" charset="0"/>
              <a:ea typeface="+mn-ea"/>
              <a:cs typeface="Arial" panose="020B0604020202020204" pitchFamily="34" charset="0"/>
            </a:rPr>
            <a:t>For UUT Tolerance Tool:  Measuring Resolution (Least Sig Digit)</a:t>
          </a:r>
          <a:endParaRPr lang="en-US" sz="1000">
            <a:effectLst/>
            <a:latin typeface="Arial" panose="020B0604020202020204" pitchFamily="34" charset="0"/>
            <a:ea typeface="+mn-ea"/>
            <a:cs typeface="Arial" panose="020B0604020202020204" pitchFamily="34" charset="0"/>
          </a:endParaRPr>
        </a:p>
        <a:p>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This is the resolution of the instrument used to measure the tolerances during a calibration test.  This might NOT be the resolution of this equipment.  For example, if this equipment is a measurement source, the measuring resolution would be the resolution of the TMDE used to calibrate it.  If the TMDE is a measurement source, then the measuring resolution would be the resolution of this equipment.  Note: Resolution has the effect of shrinking tolerances and guard bands which, in turn, has the effect of decreasing the TUR and increasing the risk (PFA).</a:t>
          </a:r>
        </a:p>
        <a:p>
          <a:endParaRPr lang="en-US" sz="1000">
            <a:effectLst/>
            <a:latin typeface="Arial" panose="020B0604020202020204" pitchFamily="34" charset="0"/>
            <a:ea typeface="+mn-ea"/>
            <a:cs typeface="Arial" panose="020B0604020202020204" pitchFamily="34" charset="0"/>
          </a:endParaRPr>
        </a:p>
        <a:p>
          <a:r>
            <a:rPr lang="en-US" sz="1000" b="1">
              <a:effectLst/>
              <a:latin typeface="Arial" panose="020B0604020202020204" pitchFamily="34" charset="0"/>
              <a:ea typeface="+mn-ea"/>
              <a:cs typeface="Arial" panose="020B0604020202020204" pitchFamily="34" charset="0"/>
            </a:rPr>
            <a:t>Note</a:t>
          </a:r>
          <a:r>
            <a:rPr lang="en-US" sz="1000">
              <a:effectLst/>
              <a:latin typeface="Arial" panose="020B0604020202020204" pitchFamily="34" charset="0"/>
              <a:ea typeface="+mn-ea"/>
              <a:cs typeface="Arial" panose="020B0604020202020204" pitchFamily="34" charset="0"/>
            </a:rPr>
            <a:t>:  F</a:t>
          </a:r>
          <a:r>
            <a:rPr lang="en-US" sz="1000" baseline="0">
              <a:effectLst/>
              <a:latin typeface="Arial" panose="020B0604020202020204" pitchFamily="34" charset="0"/>
              <a:ea typeface="+mn-ea"/>
              <a:cs typeface="Arial" panose="020B0604020202020204" pitchFamily="34" charset="0"/>
            </a:rPr>
            <a:t>or tolerances based on measurement equations, there might not be an appropriate measuring resolution for the equation value.  In this case, the measuring resolution should be left blank.  Alternatively, the measuring resolution could be interpretted as the least significant digit of the reported value based on the number of significant figures used for the equation value.</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 </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32</xdr:col>
      <xdr:colOff>83820</xdr:colOff>
      <xdr:row>32</xdr:row>
      <xdr:rowOff>15240</xdr:rowOff>
    </xdr:from>
    <xdr:to>
      <xdr:col>43</xdr:col>
      <xdr:colOff>205740</xdr:colOff>
      <xdr:row>39</xdr:row>
      <xdr:rowOff>220980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17846040" y="6316980"/>
          <a:ext cx="5989320" cy="23774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Correlation Matrix</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correlations between measurement errors for the input variables if desired.  Suggested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Highly correlated:         1.0</a:t>
          </a:r>
        </a:p>
        <a:p>
          <a:pPr algn="l" rtl="0">
            <a:defRPr sz="1000"/>
          </a:pPr>
          <a:r>
            <a:rPr lang="en-US" sz="1000" b="0" i="0" u="none" strike="noStrike" baseline="0">
              <a:solidFill>
                <a:srgbClr val="000000"/>
              </a:solidFill>
              <a:latin typeface="Arial"/>
              <a:cs typeface="Arial"/>
            </a:rPr>
            <a:t>  Somewhat correlated:   0.5</a:t>
          </a:r>
        </a:p>
        <a:p>
          <a:pPr algn="l" rtl="0">
            <a:defRPr sz="1000"/>
          </a:pPr>
          <a:r>
            <a:rPr lang="en-US" sz="1000" b="0" i="0" u="none" strike="noStrike" baseline="0">
              <a:solidFill>
                <a:srgbClr val="000000"/>
              </a:solidFill>
              <a:latin typeface="Arial"/>
              <a:cs typeface="Arial"/>
            </a:rPr>
            <a:t>  No correlation:              0.0</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reset all the correlations to zero, use the Reset Correlation Matrix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determine the variable correlation based on correlations between the variable error sources, use the Error Source Correlation Tool button.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print out this matrix, highlight it and print the selection.</a:t>
          </a:r>
        </a:p>
      </xdr:txBody>
    </xdr:sp>
    <xdr:clientData/>
  </xdr:twoCellAnchor>
  <mc:AlternateContent xmlns:mc="http://schemas.openxmlformats.org/markup-compatibility/2006">
    <mc:Choice xmlns:a14="http://schemas.microsoft.com/office/drawing/2010/main" Requires="a14">
      <xdr:twoCellAnchor editAs="absolute">
        <xdr:from>
          <xdr:col>0</xdr:col>
          <xdr:colOff>66675</xdr:colOff>
          <xdr:row>0</xdr:row>
          <xdr:rowOff>66675</xdr:rowOff>
        </xdr:from>
        <xdr:to>
          <xdr:col>0</xdr:col>
          <xdr:colOff>1038225</xdr:colOff>
          <xdr:row>1</xdr:row>
          <xdr:rowOff>28575</xdr:rowOff>
        </xdr:to>
        <xdr:sp macro="" textlink="">
          <xdr:nvSpPr>
            <xdr:cNvPr id="621569" name="btnUncReturn" hidden="1">
              <a:extLst>
                <a:ext uri="{63B3BB69-23CF-44E3-9099-C40C66FF867C}">
                  <a14:compatExt spid="_x0000_s621569"/>
                </a:ext>
                <a:ext uri="{FF2B5EF4-FFF2-40B4-BE49-F238E27FC236}">
                  <a16:creationId xmlns:a16="http://schemas.microsoft.com/office/drawing/2014/main" id="{00000000-0008-0000-0300-000001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xdr:row>
          <xdr:rowOff>47625</xdr:rowOff>
        </xdr:from>
        <xdr:to>
          <xdr:col>0</xdr:col>
          <xdr:colOff>1038225</xdr:colOff>
          <xdr:row>2</xdr:row>
          <xdr:rowOff>85725</xdr:rowOff>
        </xdr:to>
        <xdr:sp macro="" textlink="">
          <xdr:nvSpPr>
            <xdr:cNvPr id="621570" name="btnCancel" hidden="1">
              <a:extLst>
                <a:ext uri="{63B3BB69-23CF-44E3-9099-C40C66FF867C}">
                  <a14:compatExt spid="_x0000_s621570"/>
                </a:ext>
                <a:ext uri="{FF2B5EF4-FFF2-40B4-BE49-F238E27FC236}">
                  <a16:creationId xmlns:a16="http://schemas.microsoft.com/office/drawing/2014/main" id="{00000000-0008-0000-0300-000002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15</xdr:row>
          <xdr:rowOff>28575</xdr:rowOff>
        </xdr:from>
        <xdr:to>
          <xdr:col>0</xdr:col>
          <xdr:colOff>1038225</xdr:colOff>
          <xdr:row>17</xdr:row>
          <xdr:rowOff>114300</xdr:rowOff>
        </xdr:to>
        <xdr:sp macro="" textlink="">
          <xdr:nvSpPr>
            <xdr:cNvPr id="621571" name="btnBudget" hidden="1">
              <a:extLst>
                <a:ext uri="{63B3BB69-23CF-44E3-9099-C40C66FF867C}">
                  <a14:compatExt spid="_x0000_s621571"/>
                </a:ext>
                <a:ext uri="{FF2B5EF4-FFF2-40B4-BE49-F238E27FC236}">
                  <a16:creationId xmlns:a16="http://schemas.microsoft.com/office/drawing/2014/main" id="{00000000-0008-0000-0300-000003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Tolerance</a:t>
              </a:r>
            </a:p>
            <a:p>
              <a:pPr algn="ctr" rtl="0">
                <a:defRPr sz="1000"/>
              </a:pPr>
              <a:r>
                <a:rPr lang="en-US" sz="9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17</xdr:row>
          <xdr:rowOff>152400</xdr:rowOff>
        </xdr:from>
        <xdr:to>
          <xdr:col>0</xdr:col>
          <xdr:colOff>1038225</xdr:colOff>
          <xdr:row>20</xdr:row>
          <xdr:rowOff>76200</xdr:rowOff>
        </xdr:to>
        <xdr:sp macro="" textlink="">
          <xdr:nvSpPr>
            <xdr:cNvPr id="621572" name="btnRep" hidden="1">
              <a:extLst>
                <a:ext uri="{63B3BB69-23CF-44E3-9099-C40C66FF867C}">
                  <a14:compatExt spid="_x0000_s621572"/>
                </a:ext>
                <a:ext uri="{FF2B5EF4-FFF2-40B4-BE49-F238E27FC236}">
                  <a16:creationId xmlns:a16="http://schemas.microsoft.com/office/drawing/2014/main" id="{00000000-0008-0000-0300-000004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Correlation</a:t>
              </a:r>
            </a:p>
            <a:p>
              <a:pPr algn="ctr" rtl="0">
                <a:defRPr sz="1000"/>
              </a:pPr>
              <a:r>
                <a:rPr lang="en-US" sz="900" b="0" i="0" u="none" strike="noStrike" baseline="0">
                  <a:solidFill>
                    <a:srgbClr val="000000"/>
                  </a:solidFill>
                  <a:latin typeface="Arial"/>
                  <a:cs typeface="Arial"/>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3990975</xdr:colOff>
          <xdr:row>12</xdr:row>
          <xdr:rowOff>0</xdr:rowOff>
        </xdr:from>
        <xdr:to>
          <xdr:col>30</xdr:col>
          <xdr:colOff>1304925</xdr:colOff>
          <xdr:row>12</xdr:row>
          <xdr:rowOff>390525</xdr:rowOff>
        </xdr:to>
        <xdr:sp macro="" textlink="">
          <xdr:nvSpPr>
            <xdr:cNvPr id="621573" name="Button 5" hidden="1">
              <a:extLst>
                <a:ext uri="{63B3BB69-23CF-44E3-9099-C40C66FF867C}">
                  <a14:compatExt spid="_x0000_s621573"/>
                </a:ext>
                <a:ext uri="{FF2B5EF4-FFF2-40B4-BE49-F238E27FC236}">
                  <a16:creationId xmlns:a16="http://schemas.microsoft.com/office/drawing/2014/main" id="{00000000-0008-0000-0300-000005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Reset Correlation Matrix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7620</xdr:colOff>
      <xdr:row>42</xdr:row>
      <xdr:rowOff>0</xdr:rowOff>
    </xdr:from>
    <xdr:to>
      <xdr:col>6</xdr:col>
      <xdr:colOff>1379220</xdr:colOff>
      <xdr:row>98</xdr:row>
      <xdr:rowOff>83820</xdr:rowOff>
    </xdr:to>
    <xdr:sp macro="" textlink="">
      <xdr:nvSpPr>
        <xdr:cNvPr id="2" name="Text Box 3">
          <a:extLst>
            <a:ext uri="{FF2B5EF4-FFF2-40B4-BE49-F238E27FC236}">
              <a16:creationId xmlns:a16="http://schemas.microsoft.com/office/drawing/2014/main" id="{00000000-0008-0000-0500-000002000000}"/>
            </a:ext>
          </a:extLst>
        </xdr:cNvPr>
        <xdr:cNvSpPr txBox="1">
          <a:spLocks noChangeArrowheads="1"/>
        </xdr:cNvSpPr>
      </xdr:nvSpPr>
      <xdr:spPr bwMode="auto">
        <a:xfrm>
          <a:off x="1089660" y="9204960"/>
          <a:ext cx="7985760" cy="947166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Measurement Equation Uncertainty Analysis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worksheet provides the capability of combining standard uncertainties into a measurement uncertainty budget assuming a measurement equation.  The measurement equation is input as an Excel function of the input variables (VBA functions can also be used as long as they reference the input variables).  The standard uncertainties and degrees of freedom for the input variables are obtained from individual uncertainty budgets automatically.  An influence chart showing the percentage contribution of each error source (calculated as the squared standard uncertainty percentage of the squared combined uncertainty) is also available by pressing "Influence Chart".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Correlations between input variables are supported by pressing the "Correlation Matrix" button.  This allows you to enter correlations, as well as to assess them based on the correlations between input variable error components.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outputs include a combined uncertainty and an expanded uncertainty.  Degrees of freedom are supported if desired.  "Cancel" returns without updating the uncertainty analysis.  "Store Uncertainty Analysis" returns the results of this analysis.</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inputs for the equation budget are almost exclusively entered on the test points tab prior to choosing the Uncertainty Tool, as follows: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Measurement Equation Input Columns (from the Test Points Tab):</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Measurement Equation Input Variable:  Input variables are identified by specifiying a number in the No Of Parameter Variables column.</a:t>
          </a:r>
        </a:p>
        <a:p>
          <a:pPr algn="l" rtl="0">
            <a:defRPr sz="1000"/>
          </a:pPr>
          <a:r>
            <a:rPr lang="en-US" sz="1000" b="0" i="0" u="none" strike="noStrike" baseline="0">
              <a:solidFill>
                <a:srgbClr val="000000"/>
              </a:solidFill>
              <a:latin typeface="Arial"/>
              <a:cs typeface="Arial"/>
            </a:rPr>
            <a:t>    Measured Value:  Enter the measured value for each input variable in the Measurement Equation Code/Values column.</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a:t>
          </a:r>
          <a:r>
            <a:rPr kumimoji="0" lang="en-US" sz="1000" b="1" i="0" u="none" strike="noStrike" kern="0" cap="none" spc="0" normalizeH="0" baseline="0" noProof="0">
              <a:ln>
                <a:noFill/>
              </a:ln>
              <a:solidFill>
                <a:srgbClr val="000000"/>
              </a:solidFill>
              <a:effectLst/>
              <a:uLnTx/>
              <a:uFillTx/>
              <a:latin typeface="Arial"/>
              <a:cs typeface="Arial"/>
            </a:rPr>
            <a:t>Note</a:t>
          </a:r>
          <a:r>
            <a:rPr kumimoji="0" lang="en-US" sz="1000" b="0" i="0" u="none" strike="noStrike" kern="0" cap="none" spc="0" normalizeH="0" baseline="0" noProof="0">
              <a:ln>
                <a:noFill/>
              </a:ln>
              <a:solidFill>
                <a:srgbClr val="000000"/>
              </a:solidFill>
              <a:effectLst/>
              <a:uLnTx/>
              <a:uFillTx/>
              <a:latin typeface="Arial"/>
              <a:cs typeface="Arial"/>
            </a:rPr>
            <a:t>:  An uncertainty budget is required for each input variable.</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cs typeface="Arial"/>
          </a:endParaRPr>
        </a:p>
        <a:p>
          <a:pPr algn="l" rtl="0">
            <a:defRPr sz="1000"/>
          </a:pPr>
          <a:r>
            <a:rPr lang="en-US" sz="1000" b="0" i="0" u="none" strike="noStrike" baseline="0">
              <a:solidFill>
                <a:srgbClr val="000000"/>
              </a:solidFill>
              <a:latin typeface="Arial"/>
              <a:cs typeface="Arial"/>
            </a:rPr>
            <a:t>    Degrees of Freedom:  The degrees of freedom are obtained automatically from the Budget Tab for each input variable.</a:t>
          </a:r>
        </a:p>
        <a:p>
          <a:pPr algn="l" rtl="0">
            <a:defRPr sz="1000"/>
          </a:pPr>
          <a:r>
            <a:rPr lang="en-US" sz="1000" b="0" i="0" u="none" strike="noStrike" baseline="0">
              <a:solidFill>
                <a:srgbClr val="000000"/>
              </a:solidFill>
              <a:latin typeface="Arial"/>
              <a:cs typeface="Arial"/>
            </a:rPr>
            <a:t>    Standard Uncertainty:  The combined uncertainties are obtained automatically from the Budget Tab for each input variable.</a:t>
          </a:r>
        </a:p>
        <a:p>
          <a:pPr algn="l" rtl="0">
            <a:defRPr sz="1000"/>
          </a:pPr>
          <a:r>
            <a:rPr lang="en-US" sz="1000" b="0" i="0" u="none" strike="noStrike" baseline="0">
              <a:solidFill>
                <a:srgbClr val="000000"/>
              </a:solidFill>
              <a:latin typeface="Arial"/>
              <a:cs typeface="Arial"/>
            </a:rPr>
            <a:t>    Sensitivity Coefficient:  Partial derivative of the measurement equation are automatically calculated.</a:t>
          </a:r>
        </a:p>
        <a:p>
          <a:pPr algn="l" rtl="0">
            <a:defRPr sz="1000"/>
          </a:pPr>
          <a:endParaRPr lang="en-US" sz="1000" b="0" i="0" u="none" strike="noStrike" baseline="0">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1" i="0" u="none" strike="noStrike" baseline="0">
              <a:solidFill>
                <a:srgbClr val="000000"/>
              </a:solidFill>
              <a:latin typeface="Arial"/>
              <a:cs typeface="Arial"/>
            </a:rPr>
            <a:t>Measurement Equation Columns</a:t>
          </a:r>
          <a:r>
            <a:rPr lang="en-US" sz="1000" b="1" i="0" baseline="0">
              <a:effectLst/>
              <a:latin typeface="+mn-lt"/>
              <a:ea typeface="+mn-ea"/>
              <a:cs typeface="+mn-cs"/>
            </a:rPr>
            <a:t> (from the Test Points Tab):</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Equation Value:  A text version of the measurement equation is specified in the Measurement Equation Description column.</a:t>
          </a:r>
        </a:p>
        <a:p>
          <a:pPr algn="l" rtl="0">
            <a:defRPr sz="1000"/>
          </a:pPr>
          <a:r>
            <a:rPr lang="en-US" sz="1000" b="0" i="0" u="none" strike="noStrike" baseline="0">
              <a:solidFill>
                <a:srgbClr val="000000"/>
              </a:solidFill>
              <a:latin typeface="Arial"/>
              <a:cs typeface="Arial"/>
            </a:rPr>
            <a:t>    Measurement Equation:  The Excel function of the input variables is given in the Measurement Equation Code/Values column.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The number of input variables must be entered in the No Of Parameter Variables column for the equation variable row.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Degrees of Freedom:  Calculated using the Welch Satterthwaite approximation if necessary.</a:t>
          </a:r>
        </a:p>
        <a:p>
          <a:pPr algn="l" rtl="0">
            <a:defRPr sz="1000"/>
          </a:pPr>
          <a:r>
            <a:rPr lang="en-US" sz="1000" b="0" i="0" u="none" strike="noStrike" baseline="0">
              <a:solidFill>
                <a:srgbClr val="000000"/>
              </a:solidFill>
              <a:latin typeface="Arial"/>
              <a:cs typeface="Arial"/>
            </a:rPr>
            <a:t>    Combined Uncertainty:  Calculated using the Measurement Equation Inputs and the Taylor Expansion.</a:t>
          </a:r>
        </a:p>
        <a:p>
          <a:pPr algn="l" rtl="0">
            <a:defRPr sz="1000"/>
          </a:pP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The outputs, in addition to the calculations discussed above include:</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Combined Uncertainty Results: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Equation Combined Uncertainty:  Calculated using the Measurement Equation Inputs and the Taylor Expansion.</a:t>
          </a:r>
        </a:p>
        <a:p>
          <a:pPr algn="l" rtl="0">
            <a:defRPr sz="1000"/>
          </a:pPr>
          <a:r>
            <a:rPr lang="en-US" sz="1000" b="0" i="0" u="none" strike="noStrike" baseline="0">
              <a:solidFill>
                <a:srgbClr val="000000"/>
              </a:solidFill>
              <a:latin typeface="Arial"/>
              <a:cs typeface="Arial"/>
            </a:rPr>
            <a:t>    Uncertainty Confidence:  Enter the confidence level desired (usually 95%).</a:t>
          </a:r>
        </a:p>
        <a:p>
          <a:pPr algn="l" rtl="0">
            <a:defRPr sz="1000"/>
          </a:pPr>
          <a:r>
            <a:rPr lang="en-US" sz="1000" b="0" i="0" u="none" strike="noStrike" baseline="0">
              <a:solidFill>
                <a:srgbClr val="000000"/>
              </a:solidFill>
              <a:latin typeface="Arial"/>
              <a:cs typeface="Arial"/>
            </a:rPr>
            <a:t>    Effective Degrees of Freedom:  Calculated using the Welch Satterthwaite approximation if necessary.</a:t>
          </a:r>
        </a:p>
        <a:p>
          <a:pPr algn="l" rtl="0">
            <a:defRPr sz="1000"/>
          </a:pPr>
          <a:r>
            <a:rPr lang="en-US" sz="1000" b="0" i="0" u="none" strike="noStrike" baseline="0">
              <a:solidFill>
                <a:srgbClr val="000000"/>
              </a:solidFill>
              <a:latin typeface="Arial"/>
              <a:cs typeface="Arial"/>
            </a:rPr>
            <a:t>    Coverage Factor:  Multiplier for the expanded uncertainty based on the t or Normal distributions as appropriate.</a:t>
          </a:r>
        </a:p>
        <a:p>
          <a:pPr algn="l" rtl="0">
            <a:defRPr sz="1000"/>
          </a:pPr>
          <a:r>
            <a:rPr lang="en-US" sz="1000" b="0" i="0" u="none" strike="noStrike" baseline="0">
              <a:solidFill>
                <a:srgbClr val="000000"/>
              </a:solidFill>
              <a:latin typeface="Arial"/>
              <a:cs typeface="Arial"/>
            </a:rPr>
            <a:t>    Equation Expanded Uncertainty:  Measurement error confidence limit calculated using the combined uncertainty results.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Measurement Equation Example:</a:t>
          </a:r>
        </a:p>
        <a:p>
          <a:pPr algn="l" rtl="0">
            <a:defRPr sz="1000"/>
          </a:pPr>
          <a:r>
            <a:rPr lang="en-US" sz="1000" b="0" i="0" u="none" strike="noStrike" baseline="0">
              <a:solidFill>
                <a:srgbClr val="000000"/>
              </a:solidFill>
              <a:latin typeface="Arial"/>
              <a:cs typeface="Arial"/>
            </a:rPr>
            <a:t>    Measurement Equation:  Area = Length * Width</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Measurement Equation Input Columns for Length (on Test Points Tab):</a:t>
          </a:r>
        </a:p>
        <a:p>
          <a:pPr algn="l" rtl="0">
            <a:defRPr sz="1000"/>
          </a:pPr>
          <a:r>
            <a:rPr lang="en-US" sz="1000" b="0" i="0" u="none" strike="noStrike" baseline="0">
              <a:solidFill>
                <a:srgbClr val="000000"/>
              </a:solidFill>
              <a:latin typeface="Arial"/>
              <a:cs typeface="Arial"/>
            </a:rPr>
            <a:t>        Measurement Equation Input Variable:  Length specified as a Parameter Name.</a:t>
          </a:r>
        </a:p>
        <a:p>
          <a:pPr algn="l" rtl="0">
            <a:defRPr sz="1000"/>
          </a:pPr>
          <a:r>
            <a:rPr lang="en-US" sz="1000" b="0" i="0" u="none" strike="noStrike" baseline="0">
              <a:solidFill>
                <a:srgbClr val="000000"/>
              </a:solidFill>
              <a:latin typeface="Arial"/>
              <a:cs typeface="Arial"/>
            </a:rPr>
            <a:t>        Measured Value:  Enter the measured value for Length in Measurement Equation Code/Values column.</a:t>
          </a:r>
        </a:p>
        <a:p>
          <a:pPr algn="l" rtl="0">
            <a:defRPr sz="1000"/>
          </a:pPr>
          <a:r>
            <a:rPr lang="en-US" sz="1000" b="0" i="0" u="none" strike="noStrike" baseline="0">
              <a:solidFill>
                <a:srgbClr val="000000"/>
              </a:solidFill>
              <a:latin typeface="Arial"/>
              <a:cs typeface="Arial"/>
            </a:rPr>
            <a:t>        Length Uncertainty Budget:  An uncertainty analysis is done from the Test Points Tab using the "Uncertainty Tool" button.</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Measurement Equation Input Columns for Width (on Test Points Tab):</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Measurement Equation Input Variable:  Width specified as a Parameter Name.</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Measured Value:  Enter the measured value for Width in Measurement Equation Code/Values column.</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Width Uncertainty Budget:  An uncertainty analysis is done from the Test Points Tab using the "Uncertainty Tool" button.</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cs typeface="Arial"/>
          </a:endParaRPr>
        </a:p>
        <a:p>
          <a:pPr algn="l" rtl="0">
            <a:defRPr sz="1000"/>
          </a:pPr>
          <a:r>
            <a:rPr lang="en-US" sz="1000" b="0" i="0" u="none" strike="noStrike" baseline="0">
              <a:solidFill>
                <a:srgbClr val="000000"/>
              </a:solidFill>
              <a:latin typeface="Arial"/>
              <a:cs typeface="Arial"/>
            </a:rPr>
            <a:t>    Measurement Equation Columns (on Test Points Tab):</a:t>
          </a:r>
        </a:p>
        <a:p>
          <a:pPr algn="l" rtl="0">
            <a:defRPr sz="1000"/>
          </a:pPr>
          <a:r>
            <a:rPr lang="en-US" sz="1000" b="0" i="0" u="none" strike="noStrike" baseline="0">
              <a:solidFill>
                <a:srgbClr val="000000"/>
              </a:solidFill>
              <a:latin typeface="Arial"/>
              <a:cs typeface="Arial"/>
            </a:rPr>
            <a:t>        Measurement Equation Description:  Enter "Area = Length * Width" in the Measurement Equation Description column.</a:t>
          </a:r>
        </a:p>
        <a:p>
          <a:pPr algn="l" rtl="0">
            <a:defRPr sz="1000"/>
          </a:pPr>
          <a:r>
            <a:rPr lang="en-US" sz="1000" b="0" i="0" u="none" strike="noStrike" baseline="0">
              <a:solidFill>
                <a:srgbClr val="000000"/>
              </a:solidFill>
              <a:latin typeface="Arial"/>
              <a:cs typeface="Arial"/>
            </a:rPr>
            <a:t>        Measurement Equation:  Enter (e.g.) "= T7 * T8" in the Measurement Equation Code/Values column.</a:t>
          </a:r>
        </a:p>
        <a:p>
          <a:pPr algn="l" rtl="0">
            <a:defRPr sz="1000"/>
          </a:pPr>
          <a:r>
            <a:rPr lang="en-US" sz="1000" b="0" i="0" u="none" strike="noStrike" baseline="0">
              <a:solidFill>
                <a:srgbClr val="000000"/>
              </a:solidFill>
              <a:latin typeface="Arial"/>
              <a:cs typeface="Arial"/>
            </a:rPr>
            <a:t>        Input Variables:  Enter the number of varables to be used in this equation (2) in the No Of Parameter Variables column for Area.</a:t>
          </a:r>
        </a:p>
        <a:p>
          <a:pPr algn="l" rtl="0">
            <a:defRPr sz="1000"/>
          </a:pPr>
          <a:r>
            <a:rPr lang="en-US" sz="1000" b="0" i="0" u="none" strike="noStrike" baseline="0">
              <a:solidFill>
                <a:srgbClr val="000000"/>
              </a:solidFill>
              <a:latin typeface="Arial"/>
              <a:cs typeface="Arial"/>
            </a:rPr>
            <a:t>        Press the "Uncertainty Tool" button while in the Area row to obtain the Measurement Equation Uncertainty Analysis Tab.</a:t>
          </a:r>
        </a:p>
      </xdr:txBody>
    </xdr:sp>
    <xdr:clientData/>
  </xdr:twoCellAnchor>
  <xdr:twoCellAnchor>
    <xdr:from>
      <xdr:col>31</xdr:col>
      <xdr:colOff>83820</xdr:colOff>
      <xdr:row>32</xdr:row>
      <xdr:rowOff>15240</xdr:rowOff>
    </xdr:from>
    <xdr:to>
      <xdr:col>42</xdr:col>
      <xdr:colOff>205740</xdr:colOff>
      <xdr:row>39</xdr:row>
      <xdr:rowOff>220980</xdr:rowOff>
    </xdr:to>
    <xdr:sp macro="" textlink="">
      <xdr:nvSpPr>
        <xdr:cNvPr id="5" name="Text Box 1">
          <a:extLst>
            <a:ext uri="{FF2B5EF4-FFF2-40B4-BE49-F238E27FC236}">
              <a16:creationId xmlns:a16="http://schemas.microsoft.com/office/drawing/2014/main" id="{00000000-0008-0000-0500-000005000000}"/>
            </a:ext>
          </a:extLst>
        </xdr:cNvPr>
        <xdr:cNvSpPr txBox="1">
          <a:spLocks noChangeArrowheads="1"/>
        </xdr:cNvSpPr>
      </xdr:nvSpPr>
      <xdr:spPr bwMode="auto">
        <a:xfrm>
          <a:off x="15781020" y="6332220"/>
          <a:ext cx="5989320" cy="23774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Correlation Matrix</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correlations between measurement errors for the input variables if desired.  Suggested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Highly correlated:         1.0</a:t>
          </a:r>
        </a:p>
        <a:p>
          <a:pPr algn="l" rtl="0">
            <a:defRPr sz="1000"/>
          </a:pPr>
          <a:r>
            <a:rPr lang="en-US" sz="1000" b="0" i="0" u="none" strike="noStrike" baseline="0">
              <a:solidFill>
                <a:srgbClr val="000000"/>
              </a:solidFill>
              <a:latin typeface="Arial"/>
              <a:cs typeface="Arial"/>
            </a:rPr>
            <a:t>  Somewhat correlated:   0.5</a:t>
          </a:r>
        </a:p>
        <a:p>
          <a:pPr algn="l" rtl="0">
            <a:defRPr sz="1000"/>
          </a:pPr>
          <a:r>
            <a:rPr lang="en-US" sz="1000" b="0" i="0" u="none" strike="noStrike" baseline="0">
              <a:solidFill>
                <a:srgbClr val="000000"/>
              </a:solidFill>
              <a:latin typeface="Arial"/>
              <a:cs typeface="Arial"/>
            </a:rPr>
            <a:t>  No correlation:              0.0</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reset all the correlations to zero, use the Reset Correlation Matrix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determine the variable correlation based on correlations between the variable error sources, use the Error Source Correlation Tool button.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print out this matrix, highlight it and print the selection.</a:t>
          </a:r>
        </a:p>
      </xdr:txBody>
    </xdr:sp>
    <xdr:clientData/>
  </xdr:twoCellAnchor>
  <xdr:twoCellAnchor>
    <xdr:from>
      <xdr:col>48</xdr:col>
      <xdr:colOff>53340</xdr:colOff>
      <xdr:row>0</xdr:row>
      <xdr:rowOff>76200</xdr:rowOff>
    </xdr:from>
    <xdr:to>
      <xdr:col>59</xdr:col>
      <xdr:colOff>316230</xdr:colOff>
      <xdr:row>26</xdr:row>
      <xdr:rowOff>83820</xdr:rowOff>
    </xdr:to>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123825</xdr:colOff>
          <xdr:row>38</xdr:row>
          <xdr:rowOff>47625</xdr:rowOff>
        </xdr:from>
        <xdr:to>
          <xdr:col>4</xdr:col>
          <xdr:colOff>371475</xdr:colOff>
          <xdr:row>38</xdr:row>
          <xdr:rowOff>219075</xdr:rowOff>
        </xdr:to>
        <xdr:sp macro="" textlink="">
          <xdr:nvSpPr>
            <xdr:cNvPr id="140296" name="Check Box 8" hidden="1">
              <a:extLst>
                <a:ext uri="{63B3BB69-23CF-44E3-9099-C40C66FF867C}">
                  <a14:compatExt spid="_x0000_s140296"/>
                </a:ext>
                <a:ext uri="{FF2B5EF4-FFF2-40B4-BE49-F238E27FC236}">
                  <a16:creationId xmlns:a16="http://schemas.microsoft.com/office/drawing/2014/main" id="{00000000-0008-0000-0500-000008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twoCellAnchor editAs="oneCell">
    <xdr:from>
      <xdr:col>4</xdr:col>
      <xdr:colOff>365760</xdr:colOff>
      <xdr:row>37</xdr:row>
      <xdr:rowOff>243840</xdr:rowOff>
    </xdr:from>
    <xdr:to>
      <xdr:col>5</xdr:col>
      <xdr:colOff>845820</xdr:colOff>
      <xdr:row>39</xdr:row>
      <xdr:rowOff>22860</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5570220" y="8183880"/>
          <a:ext cx="1600200" cy="32766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latin typeface="Arial" panose="020B0604020202020204" pitchFamily="34" charset="0"/>
              <a:cs typeface="Arial" panose="020B0604020202020204" pitchFamily="34" charset="0"/>
            </a:rPr>
            <a:t>Use Degrees of Freedom?</a:t>
          </a: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66675</xdr:colOff>
          <xdr:row>0</xdr:row>
          <xdr:rowOff>66675</xdr:rowOff>
        </xdr:from>
        <xdr:to>
          <xdr:col>0</xdr:col>
          <xdr:colOff>1038225</xdr:colOff>
          <xdr:row>1</xdr:row>
          <xdr:rowOff>28575</xdr:rowOff>
        </xdr:to>
        <xdr:sp macro="" textlink="">
          <xdr:nvSpPr>
            <xdr:cNvPr id="140297" name="btnUncReturn" hidden="1">
              <a:extLst>
                <a:ext uri="{63B3BB69-23CF-44E3-9099-C40C66FF867C}">
                  <a14:compatExt spid="_x0000_s140297"/>
                </a:ext>
                <a:ext uri="{FF2B5EF4-FFF2-40B4-BE49-F238E27FC236}">
                  <a16:creationId xmlns:a16="http://schemas.microsoft.com/office/drawing/2014/main" id="{00000000-0008-0000-0500-000009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xdr:row>
          <xdr:rowOff>47625</xdr:rowOff>
        </xdr:from>
        <xdr:to>
          <xdr:col>0</xdr:col>
          <xdr:colOff>1038225</xdr:colOff>
          <xdr:row>2</xdr:row>
          <xdr:rowOff>85725</xdr:rowOff>
        </xdr:to>
        <xdr:sp macro="" textlink="">
          <xdr:nvSpPr>
            <xdr:cNvPr id="140298" name="btnCancel" hidden="1">
              <a:extLst>
                <a:ext uri="{63B3BB69-23CF-44E3-9099-C40C66FF867C}">
                  <a14:compatExt spid="_x0000_s140298"/>
                </a:ext>
                <a:ext uri="{FF2B5EF4-FFF2-40B4-BE49-F238E27FC236}">
                  <a16:creationId xmlns:a16="http://schemas.microsoft.com/office/drawing/2014/main" id="{00000000-0008-0000-0500-00000A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15</xdr:row>
          <xdr:rowOff>28575</xdr:rowOff>
        </xdr:from>
        <xdr:to>
          <xdr:col>0</xdr:col>
          <xdr:colOff>1038225</xdr:colOff>
          <xdr:row>17</xdr:row>
          <xdr:rowOff>114300</xdr:rowOff>
        </xdr:to>
        <xdr:sp macro="" textlink="">
          <xdr:nvSpPr>
            <xdr:cNvPr id="140299" name="btnBudget" hidden="1">
              <a:extLst>
                <a:ext uri="{63B3BB69-23CF-44E3-9099-C40C66FF867C}">
                  <a14:compatExt spid="_x0000_s140299"/>
                </a:ext>
                <a:ext uri="{FF2B5EF4-FFF2-40B4-BE49-F238E27FC236}">
                  <a16:creationId xmlns:a16="http://schemas.microsoft.com/office/drawing/2014/main" id="{00000000-0008-0000-0500-00000B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Uncertainty</a:t>
              </a:r>
            </a:p>
            <a:p>
              <a:pPr algn="ctr" rtl="0">
                <a:defRPr sz="1000"/>
              </a:pPr>
              <a:r>
                <a:rPr lang="en-US" sz="900" b="0" i="0" u="none" strike="noStrike" baseline="0">
                  <a:solidFill>
                    <a:srgbClr val="000000"/>
                  </a:solidFill>
                  <a:latin typeface="Arial"/>
                  <a:cs typeface="Arial"/>
                </a:rPr>
                <a:t>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17</xdr:row>
          <xdr:rowOff>152400</xdr:rowOff>
        </xdr:from>
        <xdr:to>
          <xdr:col>0</xdr:col>
          <xdr:colOff>1038225</xdr:colOff>
          <xdr:row>20</xdr:row>
          <xdr:rowOff>76200</xdr:rowOff>
        </xdr:to>
        <xdr:sp macro="" textlink="">
          <xdr:nvSpPr>
            <xdr:cNvPr id="140300" name="btnRep" hidden="1">
              <a:extLst>
                <a:ext uri="{63B3BB69-23CF-44E3-9099-C40C66FF867C}">
                  <a14:compatExt spid="_x0000_s140300"/>
                </a:ext>
                <a:ext uri="{FF2B5EF4-FFF2-40B4-BE49-F238E27FC236}">
                  <a16:creationId xmlns:a16="http://schemas.microsoft.com/office/drawing/2014/main" id="{00000000-0008-0000-0500-00000C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Correlation</a:t>
              </a:r>
            </a:p>
            <a:p>
              <a:pPr algn="ctr" rtl="0">
                <a:defRPr sz="1000"/>
              </a:pPr>
              <a:r>
                <a:rPr lang="en-US" sz="900" b="0" i="0" u="none" strike="noStrike" baseline="0">
                  <a:solidFill>
                    <a:srgbClr val="000000"/>
                  </a:solidFill>
                  <a:latin typeface="Arial"/>
                  <a:cs typeface="Arial"/>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20</xdr:row>
          <xdr:rowOff>114300</xdr:rowOff>
        </xdr:from>
        <xdr:to>
          <xdr:col>0</xdr:col>
          <xdr:colOff>1038225</xdr:colOff>
          <xdr:row>23</xdr:row>
          <xdr:rowOff>28575</xdr:rowOff>
        </xdr:to>
        <xdr:sp macro="" textlink="">
          <xdr:nvSpPr>
            <xdr:cNvPr id="140301" name="btnChart" hidden="1">
              <a:extLst>
                <a:ext uri="{63B3BB69-23CF-44E3-9099-C40C66FF867C}">
                  <a14:compatExt spid="_x0000_s140301"/>
                </a:ext>
                <a:ext uri="{FF2B5EF4-FFF2-40B4-BE49-F238E27FC236}">
                  <a16:creationId xmlns:a16="http://schemas.microsoft.com/office/drawing/2014/main" id="{00000000-0008-0000-0500-00000D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Influence</a:t>
              </a:r>
            </a:p>
            <a:p>
              <a:pPr algn="ctr" rtl="0">
                <a:defRPr sz="1000"/>
              </a:pPr>
              <a:r>
                <a:rPr lang="en-US" sz="900" b="0" i="0" u="none" strike="noStrike" baseline="0">
                  <a:solidFill>
                    <a:srgbClr val="000000"/>
                  </a:solidFill>
                  <a:latin typeface="Arial"/>
                  <a:cs typeface="Arial"/>
                </a:rPr>
                <a:t>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30</xdr:col>
          <xdr:colOff>266700</xdr:colOff>
          <xdr:row>11</xdr:row>
          <xdr:rowOff>123825</xdr:rowOff>
        </xdr:from>
        <xdr:to>
          <xdr:col>33</xdr:col>
          <xdr:colOff>161925</xdr:colOff>
          <xdr:row>12</xdr:row>
          <xdr:rowOff>342900</xdr:rowOff>
        </xdr:to>
        <xdr:sp macro="" textlink="">
          <xdr:nvSpPr>
            <xdr:cNvPr id="140302" name="Button 14" hidden="1">
              <a:extLst>
                <a:ext uri="{63B3BB69-23CF-44E3-9099-C40C66FF867C}">
                  <a14:compatExt spid="_x0000_s140302"/>
                </a:ext>
                <a:ext uri="{FF2B5EF4-FFF2-40B4-BE49-F238E27FC236}">
                  <a16:creationId xmlns:a16="http://schemas.microsoft.com/office/drawing/2014/main" id="{00000000-0008-0000-0500-00000E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Error Source</a:t>
              </a:r>
            </a:p>
            <a:p>
              <a:pPr algn="ctr" rtl="0">
                <a:defRPr sz="1000"/>
              </a:pPr>
              <a:r>
                <a:rPr lang="en-US" sz="900" b="0" i="0" u="none" strike="noStrike" baseline="0">
                  <a:solidFill>
                    <a:srgbClr val="000000"/>
                  </a:solidFill>
                  <a:latin typeface="Arial"/>
                  <a:cs typeface="Arial"/>
                </a:rPr>
                <a:t>Correlation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1038225</xdr:colOff>
          <xdr:row>11</xdr:row>
          <xdr:rowOff>123825</xdr:rowOff>
        </xdr:from>
        <xdr:to>
          <xdr:col>30</xdr:col>
          <xdr:colOff>238125</xdr:colOff>
          <xdr:row>12</xdr:row>
          <xdr:rowOff>342900</xdr:rowOff>
        </xdr:to>
        <xdr:sp macro="" textlink="">
          <xdr:nvSpPr>
            <xdr:cNvPr id="140303" name="Button 15" hidden="1">
              <a:extLst>
                <a:ext uri="{63B3BB69-23CF-44E3-9099-C40C66FF867C}">
                  <a14:compatExt spid="_x0000_s140303"/>
                </a:ext>
                <a:ext uri="{FF2B5EF4-FFF2-40B4-BE49-F238E27FC236}">
                  <a16:creationId xmlns:a16="http://schemas.microsoft.com/office/drawing/2014/main" id="{00000000-0008-0000-0500-00000F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Reset Correlation Matrix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7620</xdr:colOff>
      <xdr:row>24</xdr:row>
      <xdr:rowOff>30480</xdr:rowOff>
    </xdr:from>
    <xdr:to>
      <xdr:col>9</xdr:col>
      <xdr:colOff>266700</xdr:colOff>
      <xdr:row>53</xdr:row>
      <xdr:rowOff>45720</xdr:rowOff>
    </xdr:to>
    <xdr:sp macro="" textlink="">
      <xdr:nvSpPr>
        <xdr:cNvPr id="2" name="Text Box 3">
          <a:extLst>
            <a:ext uri="{FF2B5EF4-FFF2-40B4-BE49-F238E27FC236}">
              <a16:creationId xmlns:a16="http://schemas.microsoft.com/office/drawing/2014/main" id="{00000000-0008-0000-0600-000002000000}"/>
            </a:ext>
          </a:extLst>
        </xdr:cNvPr>
        <xdr:cNvSpPr txBox="1">
          <a:spLocks noChangeArrowheads="1"/>
        </xdr:cNvSpPr>
      </xdr:nvSpPr>
      <xdr:spPr bwMode="auto">
        <a:xfrm>
          <a:off x="1623060" y="4160520"/>
          <a:ext cx="7284720" cy="4876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Measurement Equation Variable Correlation Analysis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tab provides the capability of determining the correlation between input variables for a measurement equation based on the correlations between the corresponding error sources for each variable.   </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correlations between uncertainty error sources for the input variables.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Suggested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Highly correlated:          1.0</a:t>
          </a:r>
        </a:p>
        <a:p>
          <a:pPr algn="l" rtl="0">
            <a:defRPr sz="1000"/>
          </a:pPr>
          <a:r>
            <a:rPr lang="en-US" sz="1000" b="0" i="0" u="none" strike="noStrike" baseline="0">
              <a:solidFill>
                <a:srgbClr val="000000"/>
              </a:solidFill>
              <a:latin typeface="Arial"/>
              <a:cs typeface="Arial"/>
            </a:rPr>
            <a:t>  Somewhat correlated:   0.5</a:t>
          </a:r>
        </a:p>
        <a:p>
          <a:pPr algn="l" rtl="0">
            <a:defRPr sz="1000"/>
          </a:pPr>
          <a:r>
            <a:rPr lang="en-US" sz="1000" b="0" i="0" u="none" strike="noStrike" baseline="0">
              <a:solidFill>
                <a:srgbClr val="000000"/>
              </a:solidFill>
              <a:latin typeface="Arial"/>
              <a:cs typeface="Arial"/>
            </a:rPr>
            <a:t>  No correlation:               0.0</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Input measurements based on the same measurement device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combined corrrelation between variable 1 and variable 2 will be used in the correlation matrix in the EqBudgetTab.</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Error components that tend to be correlated</a:t>
          </a:r>
        </a:p>
        <a:p>
          <a:pPr algn="l" rtl="0">
            <a:defRPr sz="1000"/>
          </a:pPr>
          <a:endParaRPr lang="en-US" sz="1000" b="1" i="0" u="none" strike="noStrike" baseline="0">
            <a:solidFill>
              <a:srgbClr val="000000"/>
            </a:solidFill>
            <a:latin typeface="Arial"/>
            <a:cs typeface="Arial"/>
          </a:endParaRP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Look for error components that are the same or closely related.</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Look for error components that would have similar (or inverse) effects on their measurements.</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Look for measurements made with the same equipment or parts of equipment.</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General Correlation Principles</a:t>
          </a:r>
        </a:p>
        <a:p>
          <a:pPr algn="l" rtl="0">
            <a:defRPr sz="1000"/>
          </a:pPr>
          <a:endParaRPr lang="en-US" sz="1000" b="1" i="0" u="none" strike="noStrike" baseline="0">
            <a:solidFill>
              <a:srgbClr val="000000"/>
            </a:solidFill>
            <a:latin typeface="Arial"/>
            <a:cs typeface="Arial"/>
          </a:endParaRP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The question isn’t, for example:  “Is the environment the same?”  </a:t>
          </a:r>
        </a:p>
        <a:p>
          <a:pPr algn="l" rtl="0">
            <a:defRPr sz="1000"/>
          </a:pPr>
          <a:r>
            <a:rPr lang="en-US" sz="1000" b="0" i="0" baseline="0">
              <a:effectLst/>
              <a:latin typeface="+mn-lt"/>
              <a:ea typeface="+mn-ea"/>
              <a:cs typeface="+mn-cs"/>
            </a:rPr>
            <a:t>  * </a:t>
          </a:r>
          <a:r>
            <a:rPr lang="en-US" sz="1000" b="0" i="0" u="none" strike="noStrike" baseline="0">
              <a:solidFill>
                <a:srgbClr val="000000"/>
              </a:solidFill>
              <a:latin typeface="Arial"/>
              <a:cs typeface="Arial"/>
            </a:rPr>
            <a:t>Ask instead:  “Are the errors for these measurements due to the environment related?”</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If the relationship is minimal, don’t include it.</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Repeatability and Resolution errors should rarely be correlated.</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Correlations between different error sources are unlikely.</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0</xdr:col>
          <xdr:colOff>295275</xdr:colOff>
          <xdr:row>0</xdr:row>
          <xdr:rowOff>76200</xdr:rowOff>
        </xdr:from>
        <xdr:to>
          <xdr:col>0</xdr:col>
          <xdr:colOff>1266825</xdr:colOff>
          <xdr:row>2</xdr:row>
          <xdr:rowOff>9525</xdr:rowOff>
        </xdr:to>
        <xdr:sp macro="" textlink="">
          <xdr:nvSpPr>
            <xdr:cNvPr id="75780" name="btnUncReturn" hidden="1">
              <a:extLst>
                <a:ext uri="{63B3BB69-23CF-44E3-9099-C40C66FF867C}">
                  <a14:compatExt spid="_x0000_s75780"/>
                </a:ext>
                <a:ext uri="{FF2B5EF4-FFF2-40B4-BE49-F238E27FC236}">
                  <a16:creationId xmlns:a16="http://schemas.microsoft.com/office/drawing/2014/main" id="{00000000-0008-0000-0600-000004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2</xdr:row>
          <xdr:rowOff>38100</xdr:rowOff>
        </xdr:from>
        <xdr:to>
          <xdr:col>0</xdr:col>
          <xdr:colOff>1266825</xdr:colOff>
          <xdr:row>4</xdr:row>
          <xdr:rowOff>114300</xdr:rowOff>
        </xdr:to>
        <xdr:sp macro="" textlink="">
          <xdr:nvSpPr>
            <xdr:cNvPr id="75781" name="btnClear" hidden="1">
              <a:extLst>
                <a:ext uri="{63B3BB69-23CF-44E3-9099-C40C66FF867C}">
                  <a14:compatExt spid="_x0000_s75781"/>
                </a:ext>
                <a:ext uri="{FF2B5EF4-FFF2-40B4-BE49-F238E27FC236}">
                  <a16:creationId xmlns:a16="http://schemas.microsoft.com/office/drawing/2014/main" id="{00000000-0008-0000-0600-000005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4</xdr:row>
          <xdr:rowOff>142875</xdr:rowOff>
        </xdr:from>
        <xdr:to>
          <xdr:col>0</xdr:col>
          <xdr:colOff>1266825</xdr:colOff>
          <xdr:row>7</xdr:row>
          <xdr:rowOff>47625</xdr:rowOff>
        </xdr:to>
        <xdr:sp macro="" textlink="">
          <xdr:nvSpPr>
            <xdr:cNvPr id="75782" name="btnCancel" hidden="1">
              <a:extLst>
                <a:ext uri="{63B3BB69-23CF-44E3-9099-C40C66FF867C}">
                  <a14:compatExt spid="_x0000_s75782"/>
                </a:ext>
                <a:ext uri="{FF2B5EF4-FFF2-40B4-BE49-F238E27FC236}">
                  <a16:creationId xmlns:a16="http://schemas.microsoft.com/office/drawing/2014/main" id="{00000000-0008-0000-0600-000006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22860</xdr:colOff>
      <xdr:row>23</xdr:row>
      <xdr:rowOff>0</xdr:rowOff>
    </xdr:from>
    <xdr:to>
      <xdr:col>3</xdr:col>
      <xdr:colOff>0</xdr:colOff>
      <xdr:row>23</xdr:row>
      <xdr:rowOff>0</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9555480" y="4015740"/>
          <a:ext cx="1790700" cy="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1" i="0" u="sng" strike="noStrike" baseline="0">
              <a:solidFill>
                <a:srgbClr val="000000"/>
              </a:solidFill>
              <a:latin typeface="Arial"/>
              <a:cs typeface="Arial"/>
            </a:rPr>
            <a:t>Distributions: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1" i="0" u="sng" strike="noStrike" baseline="0">
              <a:solidFill>
                <a:srgbClr val="000000"/>
              </a:solidFill>
              <a:latin typeface="Arial"/>
              <a:cs typeface="Arial"/>
            </a:rPr>
            <a:t>Normal:</a:t>
          </a:r>
          <a:r>
            <a:rPr lang="en-US" sz="1000" b="0" i="0" u="none" strike="noStrike" baseline="0">
              <a:solidFill>
                <a:srgbClr val="000000"/>
              </a:solidFill>
              <a:latin typeface="Arial"/>
              <a:cs typeface="Arial"/>
            </a:rPr>
            <a:t>  Use for parameters with a central tendency.  Specify upper percentage limit (e.g., 95%, 99%, etc.)</a:t>
          </a:r>
        </a:p>
        <a:p>
          <a:pPr algn="l" rtl="0">
            <a:defRPr sz="1000"/>
          </a:pPr>
          <a:r>
            <a:rPr lang="en-US" sz="1000" b="1" i="0" u="sng" strike="noStrike" baseline="0">
              <a:solidFill>
                <a:srgbClr val="000000"/>
              </a:solidFill>
              <a:latin typeface="Arial"/>
              <a:cs typeface="Arial"/>
            </a:rPr>
            <a:t>Rectangular:</a:t>
          </a:r>
          <a:r>
            <a:rPr lang="en-US" sz="1000" b="0" i="0" u="none" strike="noStrike" baseline="0">
              <a:solidFill>
                <a:srgbClr val="000000"/>
              </a:solidFill>
              <a:latin typeface="Arial"/>
              <a:cs typeface="Arial"/>
            </a:rPr>
            <a:t>  Use for specifications, or where no other information is available.</a:t>
          </a:r>
        </a:p>
        <a:p>
          <a:pPr algn="l" rtl="0">
            <a:defRPr sz="1000"/>
          </a:pPr>
          <a:r>
            <a:rPr lang="en-US" sz="1000" b="1" i="0" u="sng" strike="noStrike" baseline="0">
              <a:solidFill>
                <a:srgbClr val="000000"/>
              </a:solidFill>
              <a:latin typeface="Arial"/>
              <a:cs typeface="Arial"/>
            </a:rPr>
            <a:t>Resolution:</a:t>
          </a:r>
          <a:r>
            <a:rPr lang="en-US" sz="1000" b="0" i="0" u="none" strike="noStrike" baseline="0">
              <a:solidFill>
                <a:srgbClr val="000000"/>
              </a:solidFill>
              <a:latin typeface="Arial"/>
              <a:cs typeface="Arial"/>
            </a:rPr>
            <a:t>  Enter the magnitude of the smallest readable indication (eg., smallest decimal readable)</a:t>
          </a:r>
        </a:p>
        <a:p>
          <a:pPr algn="l" rtl="0">
            <a:defRPr sz="1000"/>
          </a:pPr>
          <a:r>
            <a:rPr lang="en-US" sz="1000" b="1" i="0" u="sng" strike="noStrike" baseline="0">
              <a:solidFill>
                <a:srgbClr val="000000"/>
              </a:solidFill>
              <a:latin typeface="Arial"/>
              <a:cs typeface="Arial"/>
            </a:rPr>
            <a:t>Triangular:</a:t>
          </a:r>
          <a:r>
            <a:rPr lang="en-US" sz="1000" b="0" i="0" u="none" strike="noStrike" baseline="0">
              <a:solidFill>
                <a:srgbClr val="000000"/>
              </a:solidFill>
              <a:latin typeface="Arial"/>
              <a:cs typeface="Arial"/>
            </a:rPr>
            <a:t>  Use for parameters that have a central tendency where max is known.</a:t>
          </a:r>
        </a:p>
        <a:p>
          <a:pPr algn="l" rtl="0">
            <a:defRPr sz="1000"/>
          </a:pPr>
          <a:r>
            <a:rPr lang="en-US" sz="1000" b="1" i="0" u="sng" strike="noStrike" baseline="0">
              <a:solidFill>
                <a:srgbClr val="000000"/>
              </a:solidFill>
              <a:latin typeface="Arial"/>
              <a:cs typeface="Arial"/>
            </a:rPr>
            <a:t>U-Shaped:</a:t>
          </a:r>
          <a:r>
            <a:rPr lang="en-US" sz="1000" b="0" i="0" u="none" strike="noStrike" baseline="0">
              <a:solidFill>
                <a:srgbClr val="000000"/>
              </a:solidFill>
              <a:latin typeface="Arial"/>
              <a:cs typeface="Arial"/>
            </a:rPr>
            <a:t>  Use for cyclic data.  Example:  Temperature control.</a:t>
          </a:r>
        </a:p>
        <a:p>
          <a:pPr algn="l" rtl="0">
            <a:defRPr sz="1000"/>
          </a:pPr>
          <a:endParaRPr lang="en-US"/>
        </a:p>
      </xdr:txBody>
    </xdr:sp>
    <xdr:clientData/>
  </xdr:twoCellAnchor>
  <xdr:twoCellAnchor>
    <xdr:from>
      <xdr:col>3</xdr:col>
      <xdr:colOff>22860</xdr:colOff>
      <xdr:row>2</xdr:row>
      <xdr:rowOff>0</xdr:rowOff>
    </xdr:from>
    <xdr:to>
      <xdr:col>4</xdr:col>
      <xdr:colOff>3192780</xdr:colOff>
      <xdr:row>23</xdr:row>
      <xdr:rowOff>0</xdr:rowOff>
    </xdr:to>
    <xdr:sp macro="" textlink="">
      <xdr:nvSpPr>
        <xdr:cNvPr id="4" name="Text Box 3">
          <a:extLst>
            <a:ext uri="{FF2B5EF4-FFF2-40B4-BE49-F238E27FC236}">
              <a16:creationId xmlns:a16="http://schemas.microsoft.com/office/drawing/2014/main" id="{00000000-0008-0000-0700-000004000000}"/>
            </a:ext>
          </a:extLst>
        </xdr:cNvPr>
        <xdr:cNvSpPr txBox="1">
          <a:spLocks noChangeArrowheads="1"/>
        </xdr:cNvSpPr>
      </xdr:nvSpPr>
      <xdr:spPr bwMode="auto">
        <a:xfrm>
          <a:off x="11369040" y="472440"/>
          <a:ext cx="4861560" cy="3543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Arial"/>
              <a:cs typeface="Arial"/>
            </a:rPr>
            <a:t>Enter the measurement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calibration scenarios: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1.  UUT measures CALSTD - Enter UUT measurements</a:t>
          </a:r>
        </a:p>
        <a:p>
          <a:pPr algn="l" rtl="0">
            <a:defRPr sz="1000"/>
          </a:pPr>
          <a:r>
            <a:rPr lang="en-US" sz="1000" b="0" i="0" u="none" strike="noStrike" baseline="0">
              <a:solidFill>
                <a:srgbClr val="000000"/>
              </a:solidFill>
              <a:latin typeface="Arial"/>
              <a:cs typeface="Arial"/>
            </a:rPr>
            <a:t>  2.  CALSTD measures UUT - Enter the CALSTD measurements</a:t>
          </a:r>
        </a:p>
        <a:p>
          <a:pPr algn="l" rtl="0">
            <a:defRPr sz="1000"/>
          </a:pPr>
          <a:r>
            <a:rPr lang="en-US" sz="1000" b="0" i="0" u="none" strike="noStrike" baseline="0">
              <a:solidFill>
                <a:srgbClr val="000000"/>
              </a:solidFill>
              <a:latin typeface="Arial"/>
              <a:cs typeface="Arial"/>
            </a:rPr>
            <a:t>  3.  UUT and CALSTD measure an artifact - Enter the differences</a:t>
          </a:r>
        </a:p>
        <a:p>
          <a:pPr algn="l" rtl="0">
            <a:defRPr sz="1000"/>
          </a:pPr>
          <a:r>
            <a:rPr lang="en-US" sz="1000" b="0" i="0" u="none" strike="noStrike" baseline="0">
              <a:solidFill>
                <a:srgbClr val="000000"/>
              </a:solidFill>
              <a:latin typeface="Arial"/>
              <a:cs typeface="Arial"/>
            </a:rPr>
            <a:t>  4.  UUT and CALSTD are compared - Enter the comparator measurements</a:t>
          </a:r>
          <a:endParaRPr lang="en-US"/>
        </a:p>
      </xdr:txBody>
    </xdr:sp>
    <xdr:clientData/>
  </xdr:twoCellAnchor>
  <xdr:twoCellAnchor>
    <xdr:from>
      <xdr:col>2</xdr:col>
      <xdr:colOff>22860</xdr:colOff>
      <xdr:row>30</xdr:row>
      <xdr:rowOff>0</xdr:rowOff>
    </xdr:from>
    <xdr:to>
      <xdr:col>3</xdr:col>
      <xdr:colOff>0</xdr:colOff>
      <xdr:row>30</xdr:row>
      <xdr:rowOff>0</xdr:rowOff>
    </xdr:to>
    <xdr:sp macro="" textlink="">
      <xdr:nvSpPr>
        <xdr:cNvPr id="5" name="Text Box 1">
          <a:extLst>
            <a:ext uri="{FF2B5EF4-FFF2-40B4-BE49-F238E27FC236}">
              <a16:creationId xmlns:a16="http://schemas.microsoft.com/office/drawing/2014/main" id="{00000000-0008-0000-0700-000005000000}"/>
            </a:ext>
          </a:extLst>
        </xdr:cNvPr>
        <xdr:cNvSpPr txBox="1">
          <a:spLocks noChangeArrowheads="1"/>
        </xdr:cNvSpPr>
      </xdr:nvSpPr>
      <xdr:spPr bwMode="auto">
        <a:xfrm>
          <a:off x="9555480" y="5250180"/>
          <a:ext cx="1790700" cy="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1" i="0" u="sng" strike="noStrike" baseline="0">
              <a:solidFill>
                <a:srgbClr val="000000"/>
              </a:solidFill>
              <a:latin typeface="Arial"/>
              <a:cs typeface="Arial"/>
            </a:rPr>
            <a:t>Distributions: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1" i="0" u="sng" strike="noStrike" baseline="0">
              <a:solidFill>
                <a:srgbClr val="000000"/>
              </a:solidFill>
              <a:latin typeface="Arial"/>
              <a:cs typeface="Arial"/>
            </a:rPr>
            <a:t>Normal:</a:t>
          </a:r>
          <a:r>
            <a:rPr lang="en-US" sz="1000" b="0" i="0" u="none" strike="noStrike" baseline="0">
              <a:solidFill>
                <a:srgbClr val="000000"/>
              </a:solidFill>
              <a:latin typeface="Arial"/>
              <a:cs typeface="Arial"/>
            </a:rPr>
            <a:t>  Use for parameters with a central tendency.  Specify upper percentage limit (e.g., 95%, 99%, etc.)</a:t>
          </a:r>
        </a:p>
        <a:p>
          <a:pPr algn="l" rtl="0">
            <a:defRPr sz="1000"/>
          </a:pPr>
          <a:r>
            <a:rPr lang="en-US" sz="1000" b="1" i="0" u="sng" strike="noStrike" baseline="0">
              <a:solidFill>
                <a:srgbClr val="000000"/>
              </a:solidFill>
              <a:latin typeface="Arial"/>
              <a:cs typeface="Arial"/>
            </a:rPr>
            <a:t>Rectangular:</a:t>
          </a:r>
          <a:r>
            <a:rPr lang="en-US" sz="1000" b="0" i="0" u="none" strike="noStrike" baseline="0">
              <a:solidFill>
                <a:srgbClr val="000000"/>
              </a:solidFill>
              <a:latin typeface="Arial"/>
              <a:cs typeface="Arial"/>
            </a:rPr>
            <a:t>  Use for specifications, or where no other information is available.</a:t>
          </a:r>
        </a:p>
        <a:p>
          <a:pPr algn="l" rtl="0">
            <a:defRPr sz="1000"/>
          </a:pPr>
          <a:r>
            <a:rPr lang="en-US" sz="1000" b="1" i="0" u="sng" strike="noStrike" baseline="0">
              <a:solidFill>
                <a:srgbClr val="000000"/>
              </a:solidFill>
              <a:latin typeface="Arial"/>
              <a:cs typeface="Arial"/>
            </a:rPr>
            <a:t>Resolution:</a:t>
          </a:r>
          <a:r>
            <a:rPr lang="en-US" sz="1000" b="0" i="0" u="none" strike="noStrike" baseline="0">
              <a:solidFill>
                <a:srgbClr val="000000"/>
              </a:solidFill>
              <a:latin typeface="Arial"/>
              <a:cs typeface="Arial"/>
            </a:rPr>
            <a:t>  Enter the magnitude of the smallest readable indication (eg., smallest decimal readable)</a:t>
          </a:r>
        </a:p>
        <a:p>
          <a:pPr algn="l" rtl="0">
            <a:defRPr sz="1000"/>
          </a:pPr>
          <a:r>
            <a:rPr lang="en-US" sz="1000" b="1" i="0" u="sng" strike="noStrike" baseline="0">
              <a:solidFill>
                <a:srgbClr val="000000"/>
              </a:solidFill>
              <a:latin typeface="Arial"/>
              <a:cs typeface="Arial"/>
            </a:rPr>
            <a:t>Triangular:</a:t>
          </a:r>
          <a:r>
            <a:rPr lang="en-US" sz="1000" b="0" i="0" u="none" strike="noStrike" baseline="0">
              <a:solidFill>
                <a:srgbClr val="000000"/>
              </a:solidFill>
              <a:latin typeface="Arial"/>
              <a:cs typeface="Arial"/>
            </a:rPr>
            <a:t>  Use for parameters that have a central tendency where max is known.</a:t>
          </a:r>
        </a:p>
        <a:p>
          <a:pPr algn="l" rtl="0">
            <a:defRPr sz="1000"/>
          </a:pPr>
          <a:r>
            <a:rPr lang="en-US" sz="1000" b="1" i="0" u="sng" strike="noStrike" baseline="0">
              <a:solidFill>
                <a:srgbClr val="000000"/>
              </a:solidFill>
              <a:latin typeface="Arial"/>
              <a:cs typeface="Arial"/>
            </a:rPr>
            <a:t>U-Shaped:</a:t>
          </a:r>
          <a:r>
            <a:rPr lang="en-US" sz="1000" b="0" i="0" u="none" strike="noStrike" baseline="0">
              <a:solidFill>
                <a:srgbClr val="000000"/>
              </a:solidFill>
              <a:latin typeface="Arial"/>
              <a:cs typeface="Arial"/>
            </a:rPr>
            <a:t>  Use for cyclic data.  Example:  Temperature control.</a:t>
          </a:r>
        </a:p>
        <a:p>
          <a:pPr algn="l" rtl="0">
            <a:defRPr sz="1000"/>
          </a:pPr>
          <a:endParaRPr lang="en-US"/>
        </a:p>
      </xdr:txBody>
    </xdr:sp>
    <xdr:clientData/>
  </xdr:twoCellAnchor>
  <xdr:twoCellAnchor>
    <xdr:from>
      <xdr:col>3</xdr:col>
      <xdr:colOff>22860</xdr:colOff>
      <xdr:row>2</xdr:row>
      <xdr:rowOff>0</xdr:rowOff>
    </xdr:from>
    <xdr:to>
      <xdr:col>4</xdr:col>
      <xdr:colOff>3192780</xdr:colOff>
      <xdr:row>30</xdr:row>
      <xdr:rowOff>0</xdr:rowOff>
    </xdr:to>
    <xdr:sp macro="" textlink="">
      <xdr:nvSpPr>
        <xdr:cNvPr id="6" name="Text Box 3">
          <a:extLst>
            <a:ext uri="{FF2B5EF4-FFF2-40B4-BE49-F238E27FC236}">
              <a16:creationId xmlns:a16="http://schemas.microsoft.com/office/drawing/2014/main" id="{00000000-0008-0000-0700-000006000000}"/>
            </a:ext>
          </a:extLst>
        </xdr:cNvPr>
        <xdr:cNvSpPr txBox="1">
          <a:spLocks noChangeArrowheads="1"/>
        </xdr:cNvSpPr>
      </xdr:nvSpPr>
      <xdr:spPr bwMode="auto">
        <a:xfrm>
          <a:off x="11369040" y="472440"/>
          <a:ext cx="4861560" cy="47777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Arial"/>
              <a:cs typeface="Arial"/>
            </a:rPr>
            <a:t>Enter the measurement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test scenarios: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1.  UUT measures TMDE - Enter UUT measurements</a:t>
          </a:r>
        </a:p>
        <a:p>
          <a:pPr algn="l" rtl="0">
            <a:defRPr sz="1000"/>
          </a:pPr>
          <a:r>
            <a:rPr lang="en-US" sz="1000" b="0" i="0" u="none" strike="noStrike" baseline="0">
              <a:solidFill>
                <a:srgbClr val="000000"/>
              </a:solidFill>
              <a:latin typeface="Arial"/>
              <a:cs typeface="Arial"/>
            </a:rPr>
            <a:t>  2.  TMDE measures UUT - Enter the TMDE measurements</a:t>
          </a:r>
        </a:p>
        <a:p>
          <a:pPr algn="l" rtl="0">
            <a:defRPr sz="1000"/>
          </a:pPr>
          <a:r>
            <a:rPr lang="en-US" sz="1000" b="0" i="0" u="none" strike="noStrike" baseline="0">
              <a:solidFill>
                <a:srgbClr val="000000"/>
              </a:solidFill>
              <a:latin typeface="Arial"/>
              <a:cs typeface="Arial"/>
            </a:rPr>
            <a:t>  3.  UUT and TMDE measure an artifact - Enter the differences</a:t>
          </a:r>
        </a:p>
        <a:p>
          <a:pPr algn="l" rtl="0">
            <a:defRPr sz="1000"/>
          </a:pPr>
          <a:r>
            <a:rPr lang="en-US" sz="1000" b="0" i="0" u="none" strike="noStrike" baseline="0">
              <a:solidFill>
                <a:srgbClr val="000000"/>
              </a:solidFill>
              <a:latin typeface="Arial"/>
              <a:cs typeface="Arial"/>
            </a:rPr>
            <a:t>  4.  UUT and TMDE are compared - Enter the comparator measurements</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4</xdr:col>
      <xdr:colOff>22860</xdr:colOff>
      <xdr:row>30</xdr:row>
      <xdr:rowOff>7620</xdr:rowOff>
    </xdr:from>
    <xdr:to>
      <xdr:col>5</xdr:col>
      <xdr:colOff>0</xdr:colOff>
      <xdr:row>38</xdr:row>
      <xdr:rowOff>266700</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3060680" y="5257800"/>
          <a:ext cx="3177540" cy="2186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Usually, reported</a:t>
          </a:r>
          <a:r>
            <a:rPr lang="en-US" sz="1000" baseline="0">
              <a:latin typeface="Arial" panose="020B0604020202020204" pitchFamily="34" charset="0"/>
              <a:cs typeface="Arial" panose="020B0604020202020204" pitchFamily="34" charset="0"/>
            </a:rPr>
            <a:t> measurements for a test will be based on a single value.  If, in practice, the reported measurement is based on an average of n measurements (e.g., n=3), enter the number of values the reported measurement will be based on in the Sample Size row (36).</a:t>
          </a:r>
        </a:p>
        <a:p>
          <a:endParaRPr lang="en-US" sz="1000" baseline="0">
            <a:latin typeface="Arial" panose="020B0604020202020204" pitchFamily="34" charset="0"/>
            <a:cs typeface="Arial" panose="020B0604020202020204" pitchFamily="34" charset="0"/>
          </a:endParaRPr>
        </a:p>
        <a:p>
          <a:r>
            <a:rPr lang="en-US" sz="1000" baseline="0">
              <a:latin typeface="Arial" panose="020B0604020202020204" pitchFamily="34" charset="0"/>
              <a:cs typeface="Arial" panose="020B0604020202020204" pitchFamily="34" charset="0"/>
            </a:rPr>
            <a:t>The Number of Values Used will usually be 1 (i.e., n=1) meaning the user of the UUT will report a single value rather than an average.</a:t>
          </a:r>
          <a:endParaRPr lang="en-US" sz="10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0</xdr:col>
          <xdr:colOff>66675</xdr:colOff>
          <xdr:row>0</xdr:row>
          <xdr:rowOff>85725</xdr:rowOff>
        </xdr:from>
        <xdr:to>
          <xdr:col>0</xdr:col>
          <xdr:colOff>1038225</xdr:colOff>
          <xdr:row>1</xdr:row>
          <xdr:rowOff>66675</xdr:rowOff>
        </xdr:to>
        <xdr:sp macro="" textlink="">
          <xdr:nvSpPr>
            <xdr:cNvPr id="43013" name="btnUncReturn" hidden="1">
              <a:extLst>
                <a:ext uri="{63B3BB69-23CF-44E3-9099-C40C66FF867C}">
                  <a14:compatExt spid="_x0000_s43013"/>
                </a:ext>
                <a:ext uri="{FF2B5EF4-FFF2-40B4-BE49-F238E27FC236}">
                  <a16:creationId xmlns:a16="http://schemas.microsoft.com/office/drawing/2014/main" id="{00000000-0008-0000-0700-000005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xdr:row>
          <xdr:rowOff>104775</xdr:rowOff>
        </xdr:from>
        <xdr:to>
          <xdr:col>0</xdr:col>
          <xdr:colOff>1038225</xdr:colOff>
          <xdr:row>3</xdr:row>
          <xdr:rowOff>142875</xdr:rowOff>
        </xdr:to>
        <xdr:sp macro="" textlink="">
          <xdr:nvSpPr>
            <xdr:cNvPr id="43014" name="btnClear" hidden="1">
              <a:extLst>
                <a:ext uri="{63B3BB69-23CF-44E3-9099-C40C66FF867C}">
                  <a14:compatExt spid="_x0000_s43014"/>
                </a:ext>
                <a:ext uri="{FF2B5EF4-FFF2-40B4-BE49-F238E27FC236}">
                  <a16:creationId xmlns:a16="http://schemas.microsoft.com/office/drawing/2014/main" id="{00000000-0008-0000-0700-000006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4</xdr:row>
          <xdr:rowOff>9525</xdr:rowOff>
        </xdr:from>
        <xdr:to>
          <xdr:col>0</xdr:col>
          <xdr:colOff>1038225</xdr:colOff>
          <xdr:row>6</xdr:row>
          <xdr:rowOff>104775</xdr:rowOff>
        </xdr:to>
        <xdr:sp macro="" textlink="">
          <xdr:nvSpPr>
            <xdr:cNvPr id="43015" name="btnCancel" hidden="1">
              <a:extLst>
                <a:ext uri="{63B3BB69-23CF-44E3-9099-C40C66FF867C}">
                  <a14:compatExt spid="_x0000_s43015"/>
                </a:ext>
                <a:ext uri="{FF2B5EF4-FFF2-40B4-BE49-F238E27FC236}">
                  <a16:creationId xmlns:a16="http://schemas.microsoft.com/office/drawing/2014/main" id="{00000000-0008-0000-0700-000007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475128</xdr:colOff>
      <xdr:row>21</xdr:row>
      <xdr:rowOff>125506</xdr:rowOff>
    </xdr:from>
    <xdr:to>
      <xdr:col>8</xdr:col>
      <xdr:colOff>295834</xdr:colOff>
      <xdr:row>92</xdr:row>
      <xdr:rowOff>44823</xdr:rowOff>
    </xdr:to>
    <xdr:sp macro="" textlink="">
      <xdr:nvSpPr>
        <xdr:cNvPr id="6" name="Text Box 8">
          <a:extLst>
            <a:ext uri="{FF2B5EF4-FFF2-40B4-BE49-F238E27FC236}">
              <a16:creationId xmlns:a16="http://schemas.microsoft.com/office/drawing/2014/main" id="{00000000-0008-0000-0800-000006000000}"/>
            </a:ext>
          </a:extLst>
        </xdr:cNvPr>
        <xdr:cNvSpPr txBox="1">
          <a:spLocks noChangeArrowheads="1"/>
        </xdr:cNvSpPr>
      </xdr:nvSpPr>
      <xdr:spPr bwMode="auto">
        <a:xfrm>
          <a:off x="475128" y="7772400"/>
          <a:ext cx="7333130" cy="1201270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Tolerance Calculator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worksheet provides the capability of doing the tolerance calculations.  "Store and Return" returns the results of the calculation.  Use "Copy From Prior Test Step" to use the tolerance expression from the prior test step.  "Automate Lower Limits" allows entry of upper limits (high values) with symmetric lower limits entered automatically. "EnterLower Limits" allows entry of asymmetric lower limits. "Clear" removes all the unprotected entries.  "Cancel" returns without updating the tolerances.</a:t>
          </a:r>
        </a:p>
        <a:p>
          <a:pPr algn="l" rtl="0">
            <a:defRPr sz="1000"/>
          </a:pPr>
          <a:endParaRPr lang="en-US" sz="10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For UUT Tolerance Tool:  Measuring Resolution (Least Sig Digit)</a:t>
          </a:r>
        </a:p>
        <a:p>
          <a:pPr algn="l" rtl="0">
            <a:defRPr sz="1000"/>
          </a:pPr>
          <a:endParaRPr lang="en-US" sz="1000" b="1"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is the resolution of the instrument used to measure the tolerances during a calibration test.  This might NOT be the resolution of this equipment.  For example, if this equipment is a measurement source, the measuring resolution would be the resolution of the TMDE used to calibrate it.  If the TMDE is a measurement source, then the measuring resolution would be the resolution of this equipment.  Note: Resolution has the effect of shrinking tolerances and guard bands which, in turn, has the effect of decreasing the TUR and increasing the risk (PFA).</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endParaRPr lang="en-US" sz="1000" b="0" i="0" u="none" strike="noStrike" baseline="0">
            <a:solidFill>
              <a:srgbClr val="000000"/>
            </a:solidFill>
            <a:effectLst/>
            <a:latin typeface="Arial"/>
            <a:ea typeface="+mn-ea"/>
            <a:cs typeface="Arial"/>
          </a:endParaRPr>
        </a:p>
        <a:p>
          <a:pPr algn="l" rtl="0">
            <a:defRPr sz="1000"/>
          </a:pPr>
          <a:r>
            <a:rPr lang="en-US" sz="1100" b="1" i="0" u="none" strike="noStrike" baseline="0">
              <a:solidFill>
                <a:srgbClr val="000000"/>
              </a:solidFill>
              <a:effectLst/>
              <a:latin typeface="Arial"/>
              <a:ea typeface="+mn-ea"/>
              <a:cs typeface="Arial"/>
            </a:rPr>
            <a:t>Percent Tolerance</a:t>
          </a:r>
          <a:r>
            <a:rPr lang="en-US" sz="1100" b="1" i="0" u="none" strike="noStrike" baseline="0">
              <a:solidFill>
                <a:srgbClr val="000000"/>
              </a:solidFill>
              <a:latin typeface="Arial"/>
              <a:cs typeface="Arial"/>
            </a:rPr>
            <a:t> </a:t>
          </a:r>
          <a:r>
            <a:rPr lang="en-US" sz="1100" b="1" i="0" u="none" strike="noStrike" baseline="0">
              <a:solidFill>
                <a:srgbClr val="000000"/>
              </a:solidFill>
              <a:effectLst/>
              <a:latin typeface="Arial"/>
              <a:ea typeface="+mn-ea"/>
              <a:cs typeface="Arial"/>
            </a:rPr>
            <a:t>Example</a:t>
          </a:r>
          <a:r>
            <a:rPr lang="en-US" sz="1100" b="1" i="0" u="none" strike="noStrike" baseline="0">
              <a:solidFill>
                <a:srgbClr val="000000"/>
              </a:solidFill>
              <a:latin typeface="Arial"/>
              <a:cs typeface="Arial"/>
            </a:rPr>
            <a:t>:</a:t>
          </a:r>
        </a:p>
        <a:p>
          <a:pPr algn="l" rtl="0">
            <a:defRPr sz="1000"/>
          </a:pPr>
          <a:endParaRPr lang="en-US" sz="1000" b="1" i="0" u="none" strike="noStrike" baseline="0">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1" i="0" u="none" strike="noStrike" baseline="0">
              <a:solidFill>
                <a:srgbClr val="000000"/>
              </a:solidFill>
              <a:latin typeface="Arial"/>
              <a:cs typeface="Arial"/>
            </a:rPr>
            <a:t>    </a:t>
          </a:r>
          <a:r>
            <a:rPr lang="en-US" sz="1000" b="0" i="0" u="none" strike="noStrike" baseline="0">
              <a:solidFill>
                <a:srgbClr val="000000"/>
              </a:solidFill>
              <a:effectLst/>
              <a:latin typeface="Arial"/>
              <a:ea typeface="+mn-ea"/>
              <a:cs typeface="Arial"/>
            </a:rPr>
            <a:t>Tolerances: ± (% of Reading + % of Range + Floor)</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u="none" strike="noStrike" baseline="0">
              <a:solidFill>
                <a:srgbClr val="000000"/>
              </a:solidFill>
              <a:effectLst/>
              <a:latin typeface="Arial"/>
              <a:ea typeface="+mn-ea"/>
              <a:cs typeface="Arial"/>
            </a:rPr>
            <a:t>    100 V Range: </a:t>
          </a:r>
          <a:r>
            <a:rPr lang="en-US" sz="1000" b="0">
              <a:effectLst/>
              <a:latin typeface="Arial" panose="020B0604020202020204" pitchFamily="34" charset="0"/>
              <a:ea typeface="+mn-ea"/>
              <a:cs typeface="Arial" panose="020B0604020202020204" pitchFamily="34" charset="0"/>
            </a:rPr>
            <a:t>±</a:t>
          </a:r>
          <a:r>
            <a:rPr lang="en-US" sz="1000" b="0" baseline="0">
              <a:effectLst/>
              <a:latin typeface="Arial" panose="020B0604020202020204" pitchFamily="34" charset="0"/>
              <a:ea typeface="+mn-ea"/>
              <a:cs typeface="Arial" panose="020B0604020202020204" pitchFamily="34" charset="0"/>
            </a:rPr>
            <a:t> ( 0.35 + 0.20 + 0.001 V) </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Enter the Range (FS) Value:  100</a:t>
          </a:r>
        </a:p>
        <a:p>
          <a:pPr algn="l" rtl="0">
            <a:defRPr sz="1000"/>
          </a:pPr>
          <a:endParaRPr lang="en-US" sz="1000" b="0" i="0" u="none" strike="noStrike" baseline="0">
            <a:solidFill>
              <a:srgbClr val="000000"/>
            </a:solidFill>
            <a:effectLst/>
            <a:latin typeface="Arial"/>
            <a:ea typeface="+mn-ea"/>
            <a:cs typeface="Arial"/>
          </a:endParaRPr>
        </a:p>
        <a:p>
          <a:pPr algn="l" rtl="0">
            <a:defRPr sz="1000"/>
          </a:pPr>
          <a:r>
            <a:rPr lang="en-US" sz="1000" b="0" i="0" u="none" strike="noStrike" baseline="0">
              <a:solidFill>
                <a:srgbClr val="000000"/>
              </a:solidFill>
              <a:latin typeface="Arial"/>
              <a:cs typeface="Arial"/>
            </a:rPr>
            <a:t>    Enter the </a:t>
          </a:r>
          <a:r>
            <a:rPr lang="en-US" sz="1000" b="0" i="0" u="none" strike="noStrike" baseline="0">
              <a:solidFill>
                <a:srgbClr val="000000"/>
              </a:solidFill>
              <a:effectLst/>
              <a:latin typeface="Arial"/>
              <a:ea typeface="+mn-ea"/>
              <a:cs typeface="Arial"/>
            </a:rPr>
            <a:t>Reading</a:t>
          </a:r>
          <a:r>
            <a:rPr lang="en-US" sz="1000" b="0" i="0" u="none" strike="noStrike" baseline="0">
              <a:solidFill>
                <a:srgbClr val="000000"/>
              </a:solidFill>
              <a:latin typeface="Arial"/>
              <a:cs typeface="Arial"/>
            </a:rPr>
            <a:t> (IV) Tolerance Low Value:  -0.35</a:t>
          </a:r>
        </a:p>
        <a:p>
          <a:pPr algn="l" rtl="0">
            <a:defRPr sz="1000"/>
          </a:pPr>
          <a:r>
            <a:rPr lang="en-US" sz="1000" b="0" i="0" u="none" strike="noStrike" baseline="0">
              <a:solidFill>
                <a:srgbClr val="000000"/>
              </a:solidFill>
              <a:latin typeface="Arial"/>
              <a:cs typeface="Arial"/>
            </a:rPr>
            <a:t>    Enter the Reading (IV) Tolerance High Value:  0.35</a:t>
          </a:r>
        </a:p>
        <a:p>
          <a:pPr algn="l" rtl="0">
            <a:defRPr sz="1000"/>
          </a:pPr>
          <a:r>
            <a:rPr lang="en-US" sz="1000" b="0" i="0" u="none" strike="noStrike" baseline="0">
              <a:solidFill>
                <a:srgbClr val="000000"/>
              </a:solidFill>
              <a:latin typeface="Arial"/>
              <a:cs typeface="Arial"/>
            </a:rPr>
            <a:t>    Use the drop down for the Reading (IV) Tolerance Units:  Percent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Enter the Range (FS)  Tolerance Low Value:  -0.20</a:t>
          </a:r>
        </a:p>
        <a:p>
          <a:pPr algn="l" rtl="0">
            <a:defRPr sz="1000"/>
          </a:pPr>
          <a:r>
            <a:rPr lang="en-US" sz="1000" b="0" i="0" u="none" strike="noStrike" baseline="0">
              <a:solidFill>
                <a:srgbClr val="000000"/>
              </a:solidFill>
              <a:latin typeface="Arial"/>
              <a:cs typeface="Arial"/>
            </a:rPr>
            <a:t>    Enter the Range (FS)  Tolerance High Value:  0.20</a:t>
          </a:r>
        </a:p>
        <a:p>
          <a:pPr algn="l" rtl="0">
            <a:defRPr sz="1000"/>
          </a:pPr>
          <a:r>
            <a:rPr lang="en-US" sz="1000" b="0" i="0" u="none" strike="noStrike" baseline="0">
              <a:solidFill>
                <a:srgbClr val="000000"/>
              </a:solidFill>
              <a:latin typeface="Arial"/>
              <a:cs typeface="Arial"/>
            </a:rPr>
            <a:t>    Use the drop down for the Range (FS) Tolerance Units:  Percent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Enter the Floor Tolerance Low Value:  -0.001</a:t>
          </a:r>
        </a:p>
        <a:p>
          <a:pPr algn="l" rtl="0">
            <a:defRPr sz="1000"/>
          </a:pPr>
          <a:r>
            <a:rPr lang="en-US" sz="1000" b="0" i="0" u="none" strike="noStrike" baseline="0">
              <a:solidFill>
                <a:srgbClr val="000000"/>
              </a:solidFill>
              <a:latin typeface="Arial"/>
              <a:cs typeface="Arial"/>
            </a:rPr>
            <a:t>    Enter the Floor Tolerance High Value:  0.001</a:t>
          </a:r>
        </a:p>
        <a:p>
          <a:pPr algn="l" rtl="0">
            <a:defRPr sz="1000"/>
          </a:pPr>
          <a:r>
            <a:rPr lang="en-US" sz="1000" b="0" i="0" u="none" strike="noStrike" baseline="0">
              <a:solidFill>
                <a:srgbClr val="000000"/>
              </a:solidFill>
              <a:latin typeface="Arial"/>
              <a:cs typeface="Arial"/>
            </a:rPr>
            <a:t>    Use the drop down for the Range (FS) Tolerance Units:  Value (Units) </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dB Tolerance Entries: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allows expressions of the form 10 mW </a:t>
          </a:r>
          <a:r>
            <a:rPr kumimoji="0" lang="en-US" sz="1000" b="0" i="0" u="none" strike="noStrike" kern="0" cap="none" spc="0" normalizeH="0" baseline="0" noProof="0">
              <a:ln>
                <a:noFill/>
              </a:ln>
              <a:solidFill>
                <a:srgbClr val="000000"/>
              </a:solidFill>
              <a:effectLst/>
              <a:uLnTx/>
              <a:uFillTx/>
              <a:latin typeface="Arial"/>
              <a:ea typeface="+mn-ea"/>
              <a:cs typeface="Arial"/>
            </a:rPr>
            <a:t>±</a:t>
          </a:r>
          <a:r>
            <a:rPr lang="en-US" sz="1000" b="0" i="0" u="none" strike="noStrike" baseline="0">
              <a:solidFill>
                <a:srgbClr val="000000"/>
              </a:solidFill>
              <a:latin typeface="Arial"/>
              <a:cs typeface="Arial"/>
            </a:rPr>
            <a:t> 0.5 dB to be changed to tolerances in the correct units (e.g., 10 + 1.22  - 1.08 mW).  It is assumed that dB is calculated using:</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dB = (dB Equation Multiplier) * Log(  Measurement / (dB Equation Reference Value)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Some usual definitions include: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Voltage:  dB = 20 * Log(  Measurement / (dB Equation Reference Value) )</a:t>
          </a:r>
        </a:p>
        <a:p>
          <a:pPr algn="l" rtl="0">
            <a:defRPr sz="1000"/>
          </a:pPr>
          <a:r>
            <a:rPr lang="en-US" sz="1000" b="0" i="0" u="none" strike="noStrike" baseline="0">
              <a:solidFill>
                <a:srgbClr val="000000"/>
              </a:solidFill>
              <a:latin typeface="Arial"/>
              <a:cs typeface="Arial"/>
            </a:rPr>
            <a:t>	Power:    dB = 10 * Log(  Measurement / (dB Equation Reference Value) )</a:t>
          </a:r>
        </a:p>
        <a:p>
          <a:pPr algn="l" rtl="0">
            <a:defRPr sz="1000"/>
          </a:pPr>
          <a:r>
            <a:rPr lang="en-US" sz="1000" b="0" i="0" u="none" strike="noStrike" baseline="0">
              <a:solidFill>
                <a:srgbClr val="000000"/>
              </a:solidFill>
              <a:latin typeface="Arial"/>
              <a:cs typeface="Arial"/>
            </a:rPr>
            <a:t>	Power:    dBW = 10 * Log(  Measurement / 1 W )</a:t>
          </a:r>
        </a:p>
        <a:p>
          <a:pPr algn="l" rtl="0">
            <a:defRPr sz="1000"/>
          </a:pPr>
          <a:r>
            <a:rPr lang="en-US" sz="1000" b="0" i="0" u="none" strike="noStrike" baseline="0">
              <a:solidFill>
                <a:srgbClr val="000000"/>
              </a:solidFill>
              <a:latin typeface="Arial"/>
              <a:cs typeface="Arial"/>
            </a:rPr>
            <a:t>	Power:    dBm = 10 * Log(  Measurement / 1 mW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tolerance contributions are calculated by:</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Tolerance = </a:t>
          </a:r>
          <a:r>
            <a:rPr kumimoji="0" lang="en-US" sz="1000" b="0" i="0" u="none" strike="noStrike" kern="0" cap="none" spc="0" normalizeH="0" baseline="0" noProof="0">
              <a:ln>
                <a:noFill/>
              </a:ln>
              <a:solidFill>
                <a:srgbClr val="000000"/>
              </a:solidFill>
              <a:effectLst/>
              <a:uLnTx/>
              <a:uFillTx/>
              <a:latin typeface="Arial"/>
              <a:ea typeface="+mn-ea"/>
              <a:cs typeface="Arial"/>
            </a:rPr>
            <a:t>(dB Equation Reference Value)  * AntiLog( (dB - Tolerance)/(dB Equation Multiplier) ) - </a:t>
          </a:r>
        </a:p>
        <a:p>
          <a:pPr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Measurement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Usually, dB Equation Multiplier will be 10 (for power measurements) or 20 (otherwise).  As an example, for dBm use 10 for the </a:t>
          </a:r>
          <a:r>
            <a:rPr kumimoji="0" lang="en-US" sz="1000" b="0" i="0" u="none" strike="noStrike" kern="0" cap="none" spc="0" normalizeH="0" baseline="0" noProof="0">
              <a:ln>
                <a:noFill/>
              </a:ln>
              <a:solidFill>
                <a:srgbClr val="000000"/>
              </a:solidFill>
              <a:effectLst/>
              <a:uLnTx/>
              <a:uFillTx/>
              <a:latin typeface="Arial"/>
              <a:ea typeface="+mn-ea"/>
              <a:cs typeface="Arial"/>
            </a:rPr>
            <a:t>dB Equation Multiplier and 1 for the dB Equation Reference Value.  Both the x and the x must be entered for the dB Tolerances to be calculated.</a:t>
          </a:r>
        </a:p>
        <a:p>
          <a:pPr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dB Tolerance Entries can be used separately, or with the other tolerance contributions. </a:t>
          </a:r>
        </a:p>
        <a:p>
          <a:pPr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Example (10 mW ± 0.5 dB ):</a:t>
          </a:r>
        </a:p>
        <a:p>
          <a:pPr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Tolerance Low Value:  -0.05</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Tolerance Tolerance High Value:  0.05</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Equation Multiplier:  10</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Reference Value:  1</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Conversion Calculations: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These cells are for convenience in converting from dB to measurements or measurements to dB  The Calculated Measurement Value uses the dB Value in the following formula:</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Calculated Measurement Value = (dB Equation Reference Value)  * AntiLog( (dB Value)/(dB Equation Multiplier) )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The Calculated dB Value uses Measurement Value in the following formula:</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Calculated dB Value = (dB Equation Multiplier) * Log(  Measurement Value / (dB Equation Reference Value) )</a:t>
          </a:r>
        </a:p>
        <a:p>
          <a:pPr algn="l" rtl="0">
            <a:defRPr sz="1000"/>
          </a:pPr>
          <a:endParaRPr lang="en-US" sz="1000" b="0" i="0" u="none" strike="noStrike" baseline="0">
            <a:solidFill>
              <a:srgbClr val="000000"/>
            </a:solidFill>
            <a:latin typeface="Arial"/>
            <a:cs typeface="Arial"/>
          </a:endParaRP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161925</xdr:colOff>
          <xdr:row>0</xdr:row>
          <xdr:rowOff>85725</xdr:rowOff>
        </xdr:from>
        <xdr:to>
          <xdr:col>0</xdr:col>
          <xdr:colOff>1133475</xdr:colOff>
          <xdr:row>2</xdr:row>
          <xdr:rowOff>47625</xdr:rowOff>
        </xdr:to>
        <xdr:sp macro="" textlink="">
          <xdr:nvSpPr>
            <xdr:cNvPr id="174086" name="Button 6" hidden="1">
              <a:extLst>
                <a:ext uri="{63B3BB69-23CF-44E3-9099-C40C66FF867C}">
                  <a14:compatExt spid="_x0000_s174086"/>
                </a:ext>
                <a:ext uri="{FF2B5EF4-FFF2-40B4-BE49-F238E27FC236}">
                  <a16:creationId xmlns:a16="http://schemas.microsoft.com/office/drawing/2014/main" id="{00000000-0008-0000-0800-000006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161925</xdr:colOff>
          <xdr:row>2</xdr:row>
          <xdr:rowOff>66675</xdr:rowOff>
        </xdr:from>
        <xdr:to>
          <xdr:col>0</xdr:col>
          <xdr:colOff>1133475</xdr:colOff>
          <xdr:row>2</xdr:row>
          <xdr:rowOff>495300</xdr:rowOff>
        </xdr:to>
        <xdr:sp macro="" textlink="">
          <xdr:nvSpPr>
            <xdr:cNvPr id="174087" name="Button 7" hidden="1">
              <a:extLst>
                <a:ext uri="{63B3BB69-23CF-44E3-9099-C40C66FF867C}">
                  <a14:compatExt spid="_x0000_s174087"/>
                </a:ext>
                <a:ext uri="{FF2B5EF4-FFF2-40B4-BE49-F238E27FC236}">
                  <a16:creationId xmlns:a16="http://schemas.microsoft.com/office/drawing/2014/main" id="{00000000-0008-0000-0800-000007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a:t>
              </a:r>
            </a:p>
            <a:p>
              <a:pPr algn="ctr" rtl="0">
                <a:defRPr sz="1000"/>
              </a:pPr>
              <a:r>
                <a:rPr lang="en-US" sz="900" b="0" i="0" u="none" strike="noStrike" baseline="0">
                  <a:solidFill>
                    <a:srgbClr val="000000"/>
                  </a:solidFill>
                  <a:latin typeface="Arial"/>
                  <a:cs typeface="Arial"/>
                </a:rPr>
                <a:t>Prior Test Step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161925</xdr:colOff>
          <xdr:row>2</xdr:row>
          <xdr:rowOff>523875</xdr:rowOff>
        </xdr:from>
        <xdr:to>
          <xdr:col>0</xdr:col>
          <xdr:colOff>1133475</xdr:colOff>
          <xdr:row>3</xdr:row>
          <xdr:rowOff>352425</xdr:rowOff>
        </xdr:to>
        <xdr:sp macro="" textlink="">
          <xdr:nvSpPr>
            <xdr:cNvPr id="174088" name="btnLowLimit" hidden="1">
              <a:extLst>
                <a:ext uri="{63B3BB69-23CF-44E3-9099-C40C66FF867C}">
                  <a14:compatExt spid="_x0000_s174088"/>
                </a:ext>
                <a:ext uri="{FF2B5EF4-FFF2-40B4-BE49-F238E27FC236}">
                  <a16:creationId xmlns:a16="http://schemas.microsoft.com/office/drawing/2014/main" id="{00000000-0008-0000-0800-000008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Enter</a:t>
              </a:r>
            </a:p>
            <a:p>
              <a:pPr algn="ctr" rtl="0">
                <a:defRPr sz="1000"/>
              </a:pPr>
              <a:r>
                <a:rPr lang="en-US" sz="900" b="0" i="0" u="none" strike="noStrike" baseline="0">
                  <a:solidFill>
                    <a:srgbClr val="000000"/>
                  </a:solidFill>
                  <a:latin typeface="Arial"/>
                  <a:cs typeface="Arial"/>
                </a:rPr>
                <a:t>Lower Limits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161925</xdr:colOff>
          <xdr:row>3</xdr:row>
          <xdr:rowOff>371475</xdr:rowOff>
        </xdr:from>
        <xdr:to>
          <xdr:col>0</xdr:col>
          <xdr:colOff>1133475</xdr:colOff>
          <xdr:row>5</xdr:row>
          <xdr:rowOff>104775</xdr:rowOff>
        </xdr:to>
        <xdr:sp macro="" textlink="">
          <xdr:nvSpPr>
            <xdr:cNvPr id="174089" name="Button 9" hidden="1">
              <a:extLst>
                <a:ext uri="{63B3BB69-23CF-44E3-9099-C40C66FF867C}">
                  <a14:compatExt spid="_x0000_s174089"/>
                </a:ext>
                <a:ext uri="{FF2B5EF4-FFF2-40B4-BE49-F238E27FC236}">
                  <a16:creationId xmlns:a16="http://schemas.microsoft.com/office/drawing/2014/main" id="{00000000-0008-0000-0800-000009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161925</xdr:colOff>
          <xdr:row>5</xdr:row>
          <xdr:rowOff>123825</xdr:rowOff>
        </xdr:from>
        <xdr:to>
          <xdr:col>0</xdr:col>
          <xdr:colOff>1133475</xdr:colOff>
          <xdr:row>6</xdr:row>
          <xdr:rowOff>381000</xdr:rowOff>
        </xdr:to>
        <xdr:sp macro="" textlink="">
          <xdr:nvSpPr>
            <xdr:cNvPr id="174090" name="Button 10" hidden="1">
              <a:extLst>
                <a:ext uri="{63B3BB69-23CF-44E3-9099-C40C66FF867C}">
                  <a14:compatExt spid="_x0000_s174090"/>
                </a:ext>
                <a:ext uri="{FF2B5EF4-FFF2-40B4-BE49-F238E27FC236}">
                  <a16:creationId xmlns:a16="http://schemas.microsoft.com/office/drawing/2014/main" id="{00000000-0008-0000-0800-00000A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85725</xdr:rowOff>
        </xdr:from>
        <xdr:to>
          <xdr:col>0</xdr:col>
          <xdr:colOff>942975</xdr:colOff>
          <xdr:row>0</xdr:row>
          <xdr:rowOff>504825</xdr:rowOff>
        </xdr:to>
        <xdr:sp macro="" textlink="">
          <xdr:nvSpPr>
            <xdr:cNvPr id="238595" name="btnUncReturn" hidden="1">
              <a:extLst>
                <a:ext uri="{63B3BB69-23CF-44E3-9099-C40C66FF867C}">
                  <a14:compatExt spid="_x0000_s238595"/>
                </a:ext>
                <a:ext uri="{FF2B5EF4-FFF2-40B4-BE49-F238E27FC236}">
                  <a16:creationId xmlns:a16="http://schemas.microsoft.com/office/drawing/2014/main" id="{00000000-0008-0000-0900-000003A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0</xdr:row>
          <xdr:rowOff>523875</xdr:rowOff>
        </xdr:from>
        <xdr:to>
          <xdr:col>0</xdr:col>
          <xdr:colOff>942975</xdr:colOff>
          <xdr:row>3</xdr:row>
          <xdr:rowOff>9525</xdr:rowOff>
        </xdr:to>
        <xdr:sp macro="" textlink="">
          <xdr:nvSpPr>
            <xdr:cNvPr id="238596" name="btnCancel" hidden="1">
              <a:extLst>
                <a:ext uri="{63B3BB69-23CF-44E3-9099-C40C66FF867C}">
                  <a14:compatExt spid="_x0000_s238596"/>
                </a:ext>
                <a:ext uri="{FF2B5EF4-FFF2-40B4-BE49-F238E27FC236}">
                  <a16:creationId xmlns:a16="http://schemas.microsoft.com/office/drawing/2014/main" id="{00000000-0008-0000-0900-000004A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twoCellAnchor>
    <xdr:from>
      <xdr:col>5</xdr:col>
      <xdr:colOff>266700</xdr:colOff>
      <xdr:row>32</xdr:row>
      <xdr:rowOff>45720</xdr:rowOff>
    </xdr:from>
    <xdr:to>
      <xdr:col>7</xdr:col>
      <xdr:colOff>731520</xdr:colOff>
      <xdr:row>36</xdr:row>
      <xdr:rowOff>114300</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5951220" y="5539740"/>
          <a:ext cx="1600200" cy="739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Use this if the REOP is based on Calibration Results data.</a:t>
          </a:r>
        </a:p>
        <a:p>
          <a:endParaRPr lang="en-US" sz="800">
            <a:latin typeface="Arial" panose="020B0604020202020204" pitchFamily="34" charset="0"/>
            <a:cs typeface="Arial" panose="020B0604020202020204" pitchFamily="34" charset="0"/>
          </a:endParaRPr>
        </a:p>
        <a:p>
          <a:r>
            <a:rPr lang="en-US" sz="800">
              <a:latin typeface="Arial" panose="020B0604020202020204" pitchFamily="34" charset="0"/>
              <a:cs typeface="Arial" panose="020B0604020202020204" pitchFamily="34" charset="0"/>
            </a:rPr>
            <a:t>Gives unrealistic results for low Calculated TUR (TUR &lt;&lt;  2).</a:t>
          </a:r>
        </a:p>
      </xdr:txBody>
    </xdr:sp>
    <xdr:clientData/>
  </xdr:twoCellAnchor>
  <xdr:twoCellAnchor>
    <xdr:from>
      <xdr:col>0</xdr:col>
      <xdr:colOff>830580</xdr:colOff>
      <xdr:row>51</xdr:row>
      <xdr:rowOff>114300</xdr:rowOff>
    </xdr:from>
    <xdr:to>
      <xdr:col>8</xdr:col>
      <xdr:colOff>327660</xdr:colOff>
      <xdr:row>126</xdr:row>
      <xdr:rowOff>137160</xdr:rowOff>
    </xdr:to>
    <xdr:sp macro="" textlink="">
      <xdr:nvSpPr>
        <xdr:cNvPr id="7" name="Text Box 8">
          <a:extLst>
            <a:ext uri="{FF2B5EF4-FFF2-40B4-BE49-F238E27FC236}">
              <a16:creationId xmlns:a16="http://schemas.microsoft.com/office/drawing/2014/main" id="{00000000-0008-0000-0900-000007000000}"/>
            </a:ext>
          </a:extLst>
        </xdr:cNvPr>
        <xdr:cNvSpPr txBox="1">
          <a:spLocks noChangeArrowheads="1"/>
        </xdr:cNvSpPr>
      </xdr:nvSpPr>
      <xdr:spPr bwMode="auto">
        <a:xfrm>
          <a:off x="830580" y="9761220"/>
          <a:ext cx="7757160" cy="1259586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lnSpc>
              <a:spcPts val="1400"/>
            </a:lnSpc>
            <a:defRPr sz="1000"/>
          </a:pPr>
          <a:r>
            <a:rPr lang="en-US" sz="1400" b="1" i="0" u="none" strike="noStrike" baseline="0">
              <a:solidFill>
                <a:srgbClr val="000000"/>
              </a:solidFill>
              <a:latin typeface="Arial"/>
              <a:cs typeface="Arial"/>
            </a:rPr>
            <a:t>Measurement Decision Risk Analysis</a:t>
          </a:r>
        </a:p>
        <a:p>
          <a:pPr algn="l" rtl="0">
            <a:lnSpc>
              <a:spcPts val="1400"/>
            </a:lnSpc>
            <a:defRPr sz="1000"/>
          </a:pPr>
          <a:r>
            <a:rPr lang="en-US" sz="1100" b="1" i="0" u="none" strike="noStrike" baseline="0">
              <a:solidFill>
                <a:srgbClr val="000000"/>
              </a:solidFill>
              <a:latin typeface="Arial"/>
              <a:cs typeface="Arial"/>
            </a:rPr>
            <a:t>(Measured REOP at Calculated TUR)</a:t>
          </a:r>
        </a:p>
        <a:p>
          <a:pPr algn="l" rtl="0">
            <a:lnSpc>
              <a:spcPts val="1400"/>
            </a:lnSpc>
            <a:defRPr sz="1000"/>
          </a:pP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This tool provides a measurement decision  risk analysis of test points where the measurement reliability (REOP) is measured using calibration results data.  This means that the calculated TUR was in effect for the calibrations.</a:t>
          </a:r>
        </a:p>
        <a:p>
          <a:pPr algn="l" rtl="0">
            <a:lnSpc>
              <a:spcPts val="1000"/>
            </a:lnSpc>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"Store and Return" returns the results of any changes to the following:</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Comments</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Assumed Reliability (Rare)</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Assumed Average (Affects single sided tolerances)</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PFA Requirement (Rare)</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"Cancel" returns without making any changes.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mn-cs"/>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lnSpc>
              <a:spcPts val="1000"/>
            </a:lnSpc>
            <a:defRPr sz="1000"/>
          </a:pPr>
          <a:endParaRPr lang="en-US" sz="1100" b="1" i="0" u="none" strike="noStrike" baseline="0">
            <a:solidFill>
              <a:srgbClr val="000000"/>
            </a:solidFill>
            <a:effectLst/>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Definitions</a:t>
          </a:r>
          <a:r>
            <a:rPr lang="en-US" sz="1200" b="1" i="0" u="none" strike="noStrike" baseline="0" noProof="0">
              <a:solidFill>
                <a:srgbClr val="000000"/>
              </a:solidFill>
              <a:effectLst/>
              <a:latin typeface="Arial"/>
              <a:ea typeface="+mn-ea"/>
              <a:cs typeface="Arial"/>
            </a:rPr>
            <a:t>:</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Acceptance</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Rejection</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PFA + PFR (Probability of Wrong Decision)</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TAR:  </a:t>
          </a:r>
          <a:r>
            <a:rPr kumimoji="0" lang="en-US" sz="1000" b="0" i="0" u="none" strike="noStrike" kern="0" cap="none" spc="0" normalizeH="0" baseline="0" noProof="0">
              <a:ln>
                <a:noFill/>
              </a:ln>
              <a:solidFill>
                <a:srgbClr val="000000"/>
              </a:solidFill>
              <a:effectLst/>
              <a:uLnTx/>
              <a:uFillTx/>
              <a:latin typeface="Arial"/>
              <a:ea typeface="+mn-ea"/>
              <a:cs typeface="Arial"/>
            </a:rPr>
            <a:t>Test Accuracy Ratio</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TUR:  </a:t>
          </a:r>
          <a:r>
            <a:rPr kumimoji="0" lang="en-US" sz="1000" b="0" i="0" u="none" strike="noStrike" kern="0" cap="none" spc="0" normalizeH="0" baseline="0" noProof="0">
              <a:ln>
                <a:noFill/>
              </a:ln>
              <a:solidFill>
                <a:srgbClr val="000000"/>
              </a:solidFill>
              <a:effectLst/>
              <a:uLnTx/>
              <a:uFillTx/>
              <a:latin typeface="Arial"/>
              <a:ea typeface="+mn-ea"/>
              <a:cs typeface="Arial"/>
            </a:rPr>
            <a:t>Test Uncertainty Ratio</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a:t>
          </a:r>
          <a:r>
            <a:rPr kumimoji="0" lang="en-US" sz="1000" b="0" i="0" u="none" strike="noStrike" kern="0" cap="none" spc="0" normalizeH="0" baseline="0" noProof="0">
              <a:ln>
                <a:noFill/>
              </a:ln>
              <a:solidFill>
                <a:srgbClr val="000000"/>
              </a:solidFill>
              <a:effectLst/>
              <a:uLnTx/>
              <a:uFillTx/>
              <a:latin typeface="Arial"/>
              <a:ea typeface="+mn-ea"/>
              <a:cs typeface="Arial"/>
            </a:rPr>
            <a:t>End of Period Reliability (In Tolerance probability at the end of the calibration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Assumptions: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provides key inputs for the risk analysis.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The upper tolerance limit from the test point tab (blank for upper single sided limit).</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The lower tolerance limit from the test point tab (blank for </a:t>
          </a:r>
          <a:r>
            <a:rPr kumimoji="0" lang="en-US" sz="1000" b="0" i="0" u="none" strike="noStrike" kern="0" cap="none" spc="0" normalizeH="0" baseline="0">
              <a:ln>
                <a:noFill/>
              </a:ln>
              <a:solidFill>
                <a:srgbClr val="000000"/>
              </a:solidFill>
              <a:effectLst/>
              <a:uLnTx/>
              <a:uFillTx/>
              <a:latin typeface="Arial"/>
              <a:ea typeface="+mn-ea"/>
              <a:cs typeface="Arial"/>
            </a:rPr>
            <a:t>lower</a:t>
          </a:r>
          <a:r>
            <a:rPr lang="en-US" sz="1000" b="0" i="0" baseline="0">
              <a:effectLst/>
              <a:latin typeface="+mn-lt"/>
              <a:ea typeface="+mn-ea"/>
              <a:cs typeface="+mn-cs"/>
            </a:rPr>
            <a:t> </a:t>
          </a:r>
          <a:r>
            <a:rPr kumimoji="0" lang="en-US" sz="1000" b="0" i="0" u="none" strike="noStrike" kern="0" cap="none" spc="0" normalizeH="0" baseline="0" noProof="0">
              <a:ln>
                <a:noFill/>
              </a:ln>
              <a:solidFill>
                <a:srgbClr val="000000"/>
              </a:solidFill>
              <a:effectLst/>
              <a:uLnTx/>
              <a:uFillTx/>
              <a:latin typeface="Arial"/>
              <a:ea typeface="+mn-ea"/>
              <a:cs typeface="Arial"/>
            </a:rPr>
            <a:t>single sided limit).</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Calibration Uncertainty:  </a:t>
          </a:r>
          <a:r>
            <a:rPr kumimoji="0" lang="en-US" sz="1000" b="0" i="0" u="none" strike="noStrike" kern="0" cap="none" spc="0" normalizeH="0" baseline="0" noProof="0">
              <a:ln>
                <a:noFill/>
              </a:ln>
              <a:solidFill>
                <a:srgbClr val="000000"/>
              </a:solidFill>
              <a:effectLst/>
              <a:uLnTx/>
              <a:uFillTx/>
              <a:latin typeface="Arial"/>
              <a:ea typeface="+mn-ea"/>
              <a:cs typeface="Arial"/>
            </a:rPr>
            <a:t>The calibration (or test) process expanded uncertainty.</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Uncertainty Confidence: </a:t>
          </a:r>
          <a:r>
            <a:rPr kumimoji="0" lang="en-US" sz="1000" b="0" i="0" u="none" strike="noStrike" kern="0" cap="none" spc="0" normalizeH="0" baseline="0" noProof="0">
              <a:ln>
                <a:noFill/>
              </a:ln>
              <a:solidFill>
                <a:srgbClr val="000000"/>
              </a:solidFill>
              <a:effectLst/>
              <a:uLnTx/>
              <a:uFillTx/>
              <a:latin typeface="Arial"/>
              <a:ea typeface="+mn-ea"/>
              <a:cs typeface="Arial"/>
            </a:rPr>
            <a:t> The uncertainty confidence for the Calibration Uncertainty (usually 95%).</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Calculated TAR:  </a:t>
          </a:r>
          <a:r>
            <a:rPr kumimoji="0" lang="en-US" sz="1000" b="0" i="0" u="none" strike="noStrike" kern="0" cap="none" spc="0" normalizeH="0" baseline="0" noProof="0">
              <a:ln>
                <a:noFill/>
              </a:ln>
              <a:solidFill>
                <a:srgbClr val="000000"/>
              </a:solidFill>
              <a:effectLst/>
              <a:uLnTx/>
              <a:uFillTx/>
              <a:latin typeface="Arial"/>
              <a:ea typeface="+mn-ea"/>
              <a:cs typeface="Arial"/>
            </a:rPr>
            <a:t>This is the UUT tolerance span divided by the CALSTD tolerance span</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Calculated TUR:  </a:t>
          </a:r>
          <a:r>
            <a:rPr kumimoji="0" lang="en-US" sz="1000" b="0" i="0" u="none" strike="noStrike" kern="0" cap="none" spc="0" normalizeH="0" baseline="0" noProof="0">
              <a:ln>
                <a:noFill/>
              </a:ln>
              <a:solidFill>
                <a:srgbClr val="000000"/>
              </a:solidFill>
              <a:effectLst/>
              <a:uLnTx/>
              <a:uFillTx/>
              <a:latin typeface="Arial"/>
              <a:ea typeface="+mn-ea"/>
              <a:cs typeface="Arial"/>
            </a:rPr>
            <a:t>This is the tolerance span divided by the uncertainty confidence interval (often Error Limit / Cal Unc)</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required PFA value (usually 2%).</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Requirement</a:t>
          </a:r>
          <a:r>
            <a:rPr kumimoji="0" lang="en-US" sz="1000" b="0" i="0" u="none" strike="noStrike" kern="0" cap="none" spc="0" normalizeH="0" baseline="0" noProof="0">
              <a:ln>
                <a:noFill/>
              </a:ln>
              <a:solidFill>
                <a:srgbClr val="000000"/>
              </a:solidFill>
              <a:effectLst/>
              <a:uLnTx/>
              <a:uFillTx/>
              <a:latin typeface="Arial"/>
              <a:ea typeface="+mn-ea"/>
              <a:cs typeface="Arial"/>
            </a:rPr>
            <a:t>:  This is the target reliability used for calibration intervals (usually 85%).</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Measured Reliability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REOP based on calibration result data.</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Calibration Interval: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assumed by this analysis.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defTabSz="914400" eaLnBrk="1" fontAlgn="auto" latinLnBrk="0" hangingPunct="1">
            <a:lnSpc>
              <a:spcPts val="1000"/>
            </a:lnSpc>
            <a:spcBef>
              <a:spcPts val="0"/>
            </a:spcBef>
            <a:spcAft>
              <a:spcPts val="0"/>
            </a:spcAft>
            <a:buClrTx/>
            <a:buSzTx/>
            <a:buFontTx/>
            <a:buNone/>
            <a:tabLst/>
            <a:defRPr/>
          </a:pPr>
          <a:r>
            <a:rPr kumimoji="0" lang="en-US" sz="1000" b="1" i="0" u="none" strike="noStrike" kern="0" cap="none" spc="0" normalizeH="0" baseline="0" noProof="0">
              <a:ln>
                <a:noFill/>
              </a:ln>
              <a:solidFill>
                <a:srgbClr val="000000"/>
              </a:solidFill>
              <a:effectLst/>
              <a:uLnTx/>
              <a:uFillTx/>
              <a:latin typeface="Arial"/>
              <a:ea typeface="+mn-ea"/>
              <a:cs typeface="Arial"/>
            </a:rPr>
            <a:t>Assumed Average/Nominal (For SS Limits):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single sided limits, the threshold limit will have been entered and the other limit will have been left blank.  For a lower limit (e.g., Power &gt; 5 w), the Low Tolerance Limit is entered and the HighTolerance Limit is left blank.  For an upper limit (e.g., Stray Voltage &lt;  5 mV), enter the the HighTolerance Limit is entered and Low Tolerance Limit is left blank. If the average value for the UUT measurement can be obtained or assumed, enter this value here.  Alternatively for upper limit situations, If there is no estimated average value, leave this blank.</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a:solidFill>
                <a:srgbClr val="000000"/>
              </a:solidFill>
              <a:effectLst/>
              <a:latin typeface="Arial"/>
              <a:ea typeface="+mn-ea"/>
              <a:cs typeface="Arial"/>
            </a:rPr>
            <a:t>Risk Results Based on Measured REOP:</a:t>
          </a:r>
        </a:p>
        <a:p>
          <a:pPr algn="l" rtl="0">
            <a:lnSpc>
              <a:spcPts val="1000"/>
            </a:lnSpc>
            <a:defRPr sz="1000"/>
          </a:pP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This section shows the risk calculations (PFA, PFR, Wrong Decision Rate) assuming the Measured REOP is achieved with the Calculated TUR.  It should be noted here that high values of Measured REOP with low values of TUR give unrealistic risk measures because this assumes the tested instrument would have unrealistically high true reliability.</a:t>
          </a:r>
        </a:p>
        <a:p>
          <a:pPr algn="l" rtl="0">
            <a:lnSpc>
              <a:spcPts val="1000"/>
            </a:lnSpc>
            <a:defRPr sz="1000"/>
          </a:pP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Generally, this will be used to assess risk for in-service instruments with calibration results.</a:t>
          </a:r>
        </a:p>
        <a:p>
          <a:pPr algn="l" rtl="0">
            <a:lnSpc>
              <a:spcPts val="1100"/>
            </a:lnSpc>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Probability of False Acceptance (PFA):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if the Measured REOP was achieved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Probability of False Acceptance (PFA):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if the Measured REOP was achieved using the Calculated TUR.</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if the Measured REOP was achieved using the Calculated TUR.</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Guard Bands Managed To Measured REOP:</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shows the recommended guard bands to be applied if the PFA Requirement is not met.  The acceptance limits are calculated assuming the PFA Requirement.  Also it is assumed that calibration intervals will be managed to meet the Measured REOP.  Application of guard bands will decrease the REOP which will result in a decrease in the calibration interval.  The change to the interval which will maintain the Measured REOP is predicted.</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required PFA value (usually 2%).</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upper error limit by the Tolerance Limit Multiplier.</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lower error limit by the Tolerance Limit Multiplier.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using the new acceptance limits.</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using the new acceptance limits.</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When Guard Bands</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Are Applied to Meet 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Calibration intervals are usually managed to the REOP Requirement application of guard bands will cause a decrease in the calibration interval which is predicted here.</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shows the REOP that will be obtained with the new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708660</xdr:colOff>
      <xdr:row>68</xdr:row>
      <xdr:rowOff>22860</xdr:rowOff>
    </xdr:from>
    <xdr:to>
      <xdr:col>8</xdr:col>
      <xdr:colOff>579120</xdr:colOff>
      <xdr:row>159</xdr:row>
      <xdr:rowOff>76200</xdr:rowOff>
    </xdr:to>
    <xdr:sp macro="" textlink="">
      <xdr:nvSpPr>
        <xdr:cNvPr id="2" name="Text Box 8">
          <a:extLst>
            <a:ext uri="{FF2B5EF4-FFF2-40B4-BE49-F238E27FC236}">
              <a16:creationId xmlns:a16="http://schemas.microsoft.com/office/drawing/2014/main" id="{00000000-0008-0000-0A00-000002000000}"/>
            </a:ext>
          </a:extLst>
        </xdr:cNvPr>
        <xdr:cNvSpPr txBox="1">
          <a:spLocks noChangeArrowheads="1"/>
        </xdr:cNvSpPr>
      </xdr:nvSpPr>
      <xdr:spPr bwMode="auto">
        <a:xfrm>
          <a:off x="708660" y="12329160"/>
          <a:ext cx="7757160" cy="153085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kumimoji="0" lang="en-US" sz="1400" b="1" i="0" u="none" strike="noStrike" kern="0" cap="none" spc="0" normalizeH="0" baseline="0" noProof="0">
              <a:ln>
                <a:noFill/>
              </a:ln>
              <a:solidFill>
                <a:srgbClr val="000000"/>
              </a:solidFill>
              <a:effectLst/>
              <a:uLnTx/>
              <a:uFillTx/>
              <a:latin typeface="Arial"/>
              <a:ea typeface="+mn-ea"/>
              <a:cs typeface="Arial"/>
            </a:rPr>
            <a:t>Measurement Decision Risk Analysis</a:t>
          </a:r>
        </a:p>
        <a:p>
          <a:pPr marL="0" marR="0" lvl="0" indent="0" algn="l" defTabSz="914400" rtl="0" eaLnBrk="1" fontAlgn="auto" latinLnBrk="0" hangingPunct="1">
            <a:lnSpc>
              <a:spcPts val="14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(Assumed REOP at Assumed TUR)</a:t>
          </a:r>
        </a:p>
        <a:p>
          <a:pPr algn="l" rtl="0">
            <a:lnSpc>
              <a:spcPts val="1000"/>
            </a:lnSpc>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tool provides a measurement decision  risk analysis of test points where the measurement reliability (REOP) is assumed. This means that the REOP will be achieved with the assumed TUR rather than the calculated (measured) TUR.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"Store and Return" returns the results of any changes to the following:</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Comments</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Assumed Average/Nominal (For SS Limits)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Note:  The REOP requirement and the Assumed Calibration Interval are stored on this worksheet and will be maintained between analyses.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"Cancel" returns without making any changes.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mn-cs"/>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lnSpc>
              <a:spcPts val="1000"/>
            </a:lnSpc>
            <a:defRPr sz="1000"/>
          </a:pPr>
          <a:endParaRPr lang="en-US" sz="1100" b="1" i="0" u="none" strike="noStrike" baseline="0">
            <a:solidFill>
              <a:srgbClr val="000000"/>
            </a:solidFill>
            <a:effectLst/>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Definitions</a:t>
          </a:r>
          <a:r>
            <a:rPr lang="en-US" sz="1200" b="1" i="0" u="none" strike="noStrike" baseline="0" noProof="0">
              <a:solidFill>
                <a:srgbClr val="000000"/>
              </a:solidFill>
              <a:effectLst/>
              <a:latin typeface="Arial"/>
              <a:ea typeface="+mn-ea"/>
              <a:cs typeface="Arial"/>
            </a:rPr>
            <a:t>:</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Acceptance</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Rejection</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PFA + PFR (Probability of Wrong Decision)</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TUR:  </a:t>
          </a:r>
          <a:r>
            <a:rPr kumimoji="0" lang="en-US" sz="1000" b="0" i="0" u="none" strike="noStrike" kern="0" cap="none" spc="0" normalizeH="0" baseline="0" noProof="0">
              <a:ln>
                <a:noFill/>
              </a:ln>
              <a:solidFill>
                <a:srgbClr val="000000"/>
              </a:solidFill>
              <a:effectLst/>
              <a:uLnTx/>
              <a:uFillTx/>
              <a:latin typeface="Arial"/>
              <a:ea typeface="+mn-ea"/>
              <a:cs typeface="Arial"/>
            </a:rPr>
            <a:t>Test Uncertainty Ratio</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a:t>
          </a:r>
          <a:r>
            <a:rPr kumimoji="0" lang="en-US" sz="1000" b="0" i="0" u="none" strike="noStrike" kern="0" cap="none" spc="0" normalizeH="0" baseline="0" noProof="0">
              <a:ln>
                <a:noFill/>
              </a:ln>
              <a:solidFill>
                <a:srgbClr val="000000"/>
              </a:solidFill>
              <a:effectLst/>
              <a:uLnTx/>
              <a:uFillTx/>
              <a:latin typeface="Arial"/>
              <a:ea typeface="+mn-ea"/>
              <a:cs typeface="Arial"/>
            </a:rPr>
            <a:t>End of Period Reliability (In Tolerance probability at the end of the calibration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Assumptions: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provides key inputs for the risk analysis.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Enter the upper tolerance or error limit.  Leave blank for upper single sided limit.</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Enter the upper tolerance or error limit.  Leave blank for lower single sided limit.</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Test Uncertainty:  </a:t>
          </a:r>
          <a:r>
            <a:rPr kumimoji="0" lang="en-US" sz="1000" b="0" i="0" u="none" strike="noStrike" kern="0" cap="none" spc="0" normalizeH="0" baseline="0" noProof="0">
              <a:ln>
                <a:noFill/>
              </a:ln>
              <a:solidFill>
                <a:srgbClr val="000000"/>
              </a:solidFill>
              <a:effectLst/>
              <a:uLnTx/>
              <a:uFillTx/>
              <a:latin typeface="Arial"/>
              <a:ea typeface="+mn-ea"/>
              <a:cs typeface="Arial"/>
            </a:rPr>
            <a:t>Enter the calibration (or test) process expanded uncertainty.</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Uncertainty Confidence:  </a:t>
          </a:r>
          <a:r>
            <a:rPr kumimoji="0" lang="en-US" sz="1000" b="0" i="0" u="none" strike="noStrike" kern="0" cap="none" spc="0" normalizeH="0" baseline="0" noProof="0">
              <a:ln>
                <a:noFill/>
              </a:ln>
              <a:solidFill>
                <a:srgbClr val="000000"/>
              </a:solidFill>
              <a:effectLst/>
              <a:uLnTx/>
              <a:uFillTx/>
              <a:latin typeface="Arial"/>
              <a:ea typeface="+mn-ea"/>
              <a:cs typeface="Arial"/>
            </a:rPr>
            <a:t>Enter the uncertainty confidence for the Calibration Uncertainty (usually 95%).</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Calculated TUR:  </a:t>
          </a:r>
          <a:r>
            <a:rPr kumimoji="0" lang="en-US" sz="1000" b="0" i="0" u="none" strike="noStrike" kern="0" cap="none" spc="0" normalizeH="0" baseline="0" noProof="0">
              <a:ln>
                <a:noFill/>
              </a:ln>
              <a:solidFill>
                <a:srgbClr val="000000"/>
              </a:solidFill>
              <a:effectLst/>
              <a:uLnTx/>
              <a:uFillTx/>
              <a:latin typeface="Arial"/>
              <a:ea typeface="+mn-ea"/>
              <a:cs typeface="Arial"/>
            </a:rPr>
            <a:t>This is the tolerance span divided by the uncertainty confidence interval (often Error Limit / Cal Unc)</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required PFA value (usually 2%).</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Requirement</a:t>
          </a:r>
          <a:r>
            <a:rPr kumimoji="0" lang="en-US" sz="1000" b="0" i="0" u="none" strike="noStrike" kern="0" cap="none" spc="0" normalizeH="0" baseline="0" noProof="0">
              <a:ln>
                <a:noFill/>
              </a:ln>
              <a:solidFill>
                <a:srgbClr val="000000"/>
              </a:solidFill>
              <a:effectLst/>
              <a:uLnTx/>
              <a:uFillTx/>
              <a:latin typeface="Arial"/>
              <a:ea typeface="+mn-ea"/>
              <a:cs typeface="Arial"/>
            </a:rPr>
            <a:t>:  This is the target reliability used for calibration intervals (usually 85%).</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Reliability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assumed REOP in the absence of data.  This assumes the Required TUR value.</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TUR to Achieve Assumed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TUR needed for the equipment to achieve the assumed REOP.</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(Without this assumption, an assumed REOP can be unrealistic.)</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Calibration Interval: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assumed by this analysis.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defTabSz="914400" eaLnBrk="1" fontAlgn="auto" latinLnBrk="0" hangingPunct="1">
            <a:lnSpc>
              <a:spcPts val="900"/>
            </a:lnSpc>
            <a:spcBef>
              <a:spcPts val="0"/>
            </a:spcBef>
            <a:spcAft>
              <a:spcPts val="0"/>
            </a:spcAft>
            <a:buClrTx/>
            <a:buSzTx/>
            <a:buFontTx/>
            <a:buNone/>
            <a:tabLst/>
            <a:defRPr/>
          </a:pPr>
          <a:r>
            <a:rPr kumimoji="0" lang="en-US" sz="1000" b="1" i="0" u="none" strike="noStrike" kern="0" cap="none" spc="0" normalizeH="0" baseline="0" noProof="0">
              <a:ln>
                <a:noFill/>
              </a:ln>
              <a:solidFill>
                <a:srgbClr val="000000"/>
              </a:solidFill>
              <a:effectLst/>
              <a:uLnTx/>
              <a:uFillTx/>
              <a:latin typeface="Arial"/>
              <a:ea typeface="+mn-ea"/>
              <a:cs typeface="Arial"/>
            </a:rPr>
            <a:t>Assumed Average/Nominal (For SS Limits):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single sided limits, the threshold limit will have been entered and the other limit will have been left blank.  For a lower threshold (e.g., Power &gt; 5 w), the Lower Tolerance Limit is entered and the Upper Tolerance Limit is left blank.  For an upper threshold (e.g., Stray Voltage &lt;  5 mV), enter the the Upper Tolerance Limit is entered and Lower Tolerance Limit is left blank. If the average value for the UUT measurement can be obtained or assumed, enter this value here.  Alternatively, If there is no estimated average value, leave this blank.</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Measuring Resolution (Least Sig Digit):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resolution of the instrument used to measure the tolerances during a measurement test.  This might NOT be the resolution of this UUT.  For example, if this UUT is a measurement source, the measuring resolution would be the resolution of the TMDE used to calibrate it.  If the TMDE is a measurement source, then the measuring resolution would be the resolution of this instrument.  Note: Resolution has the effect of shrinking tolerances and guard bands which, in turn, has the effect of decreasing the TUR and increasing the risk (PFA).</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Risk Results Based on Assumed REOP:</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shows the risk calculations (PFA, PFR, Wrong Decision Rate) assuming the Assumed REOP (usually 85%) is achieved with the Assumed TUR (usually 4:1).  The Predicted REOP with Calculated TUR estimates the REOP based on the change from the Assumed TUR to the Calculated TUR.  A Calculated TUR that is lower than the Assumed TUR would result in a lower predicted REOP and correspondingly inflated risk values.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Generally, this will be used to assess risk for instruments prior to deployment..</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Predicted REOP with Calculated TUR:  </a:t>
          </a:r>
          <a:r>
            <a:rPr kumimoji="0" lang="en-US" sz="1000" b="0" i="0" u="none" strike="noStrike" kern="0" cap="none" spc="0" normalizeH="0" baseline="0" noProof="0">
              <a:ln>
                <a:noFill/>
              </a:ln>
              <a:solidFill>
                <a:srgbClr val="000000"/>
              </a:solidFill>
              <a:effectLst/>
              <a:uLnTx/>
              <a:uFillTx/>
              <a:latin typeface="Arial"/>
              <a:ea typeface="+mn-ea"/>
              <a:cs typeface="Arial"/>
            </a:rPr>
            <a:t>This shows the REOP that will be obtained with the Calculated TUR rather than the Assumed TUR (the Assumed TUR needed to achieve the Assumed REOP).</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Based on Predicted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with the Predicted REOP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Based on Predicted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with the Predicted REOP using the Calculated TUR.</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with the Predicted REOP using the Calculated TUR.</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Guard Bands Managed To Required REOP:</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shows the recommended guard bands to be applied if the PFA Requirement is not met.  The acceptance limits are calculated assuming the PFA and REOP Requirements.  Application of guard bands will decrease the REOP which will result in a decrease in the calibration interval.  The change to the interval is predicted.</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upper error limit by the Tolerance Limit Multiplier.</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lower error limit by the Tolerance Limit Multiplier.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using the new acceptance limits.</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using the new acceptance limits.</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When Guard Bands</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Are Applied to Meet 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Because calibration intervals are managed to the REOP Requirement, application of guard bands will cause a decrease in the calibration interval which is predicted here.</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shows the REOP that will be obtained with the new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Managing Risk With Calibration Intervals:</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predicts the calibration interval that would be needed to meet the PFA Requirement without applying Guard Bands.</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To Meet</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Without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that will give the Required PFA..</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Needed To Meet</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Without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reliability target needed to meet the PFA Requirement..</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only changing the interval.</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only changing the interval.</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only changing the interval.</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xdr:txBody>
    </xdr:sp>
    <xdr:clientData fPrintsWithSheet="0"/>
  </xdr:twoCellAnchor>
  <xdr:twoCellAnchor>
    <xdr:from>
      <xdr:col>5</xdr:col>
      <xdr:colOff>281940</xdr:colOff>
      <xdr:row>34</xdr:row>
      <xdr:rowOff>83820</xdr:rowOff>
    </xdr:from>
    <xdr:to>
      <xdr:col>7</xdr:col>
      <xdr:colOff>609600</xdr:colOff>
      <xdr:row>40</xdr:row>
      <xdr:rowOff>91440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6156960" y="4404360"/>
          <a:ext cx="1600200" cy="1013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Use this if the REOP is based on an assumed value (usually the </a:t>
          </a:r>
          <a:r>
            <a:rPr lang="en-US" sz="800" baseline="0">
              <a:latin typeface="Arial" panose="020B0604020202020204" pitchFamily="34" charset="0"/>
              <a:cs typeface="Arial" panose="020B0604020202020204" pitchFamily="34" charset="0"/>
            </a:rPr>
            <a:t>REOP Requirement).  </a:t>
          </a:r>
          <a:r>
            <a:rPr lang="en-US" sz="800">
              <a:latin typeface="Arial" panose="020B0604020202020204" pitchFamily="34" charset="0"/>
              <a:cs typeface="Arial" panose="020B0604020202020204" pitchFamily="34" charset="0"/>
            </a:rPr>
            <a:t>This assumption also includes an assumed TUR (usually 4:1) needed to achieve the REOP.</a:t>
          </a:r>
        </a:p>
      </xdr:txBody>
    </xdr:sp>
    <xdr:clientData/>
  </xdr:twoCellAnchor>
  <mc:AlternateContent xmlns:mc="http://schemas.openxmlformats.org/markup-compatibility/2006">
    <mc:Choice xmlns:a14="http://schemas.microsoft.com/office/drawing/2010/main" Requires="a14">
      <xdr:twoCellAnchor editAs="absolute">
        <xdr:from>
          <xdr:col>0</xdr:col>
          <xdr:colOff>123825</xdr:colOff>
          <xdr:row>0</xdr:row>
          <xdr:rowOff>114300</xdr:rowOff>
        </xdr:from>
        <xdr:to>
          <xdr:col>0</xdr:col>
          <xdr:colOff>1133475</xdr:colOff>
          <xdr:row>0</xdr:row>
          <xdr:rowOff>495300</xdr:rowOff>
        </xdr:to>
        <xdr:sp macro="" textlink="">
          <xdr:nvSpPr>
            <xdr:cNvPr id="356355" name="btnUncReturn" hidden="1">
              <a:extLst>
                <a:ext uri="{63B3BB69-23CF-44E3-9099-C40C66FF867C}">
                  <a14:compatExt spid="_x0000_s356355"/>
                </a:ext>
                <a:ext uri="{FF2B5EF4-FFF2-40B4-BE49-F238E27FC236}">
                  <a16:creationId xmlns:a16="http://schemas.microsoft.com/office/drawing/2014/main" id="{00000000-0008-0000-0A00-0000037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0</xdr:row>
          <xdr:rowOff>504825</xdr:rowOff>
        </xdr:from>
        <xdr:to>
          <xdr:col>0</xdr:col>
          <xdr:colOff>1133475</xdr:colOff>
          <xdr:row>1</xdr:row>
          <xdr:rowOff>314325</xdr:rowOff>
        </xdr:to>
        <xdr:sp macro="" textlink="">
          <xdr:nvSpPr>
            <xdr:cNvPr id="356356" name="btnCancel" hidden="1">
              <a:extLst>
                <a:ext uri="{63B3BB69-23CF-44E3-9099-C40C66FF867C}">
                  <a14:compatExt spid="_x0000_s356356"/>
                </a:ext>
                <a:ext uri="{FF2B5EF4-FFF2-40B4-BE49-F238E27FC236}">
                  <a16:creationId xmlns:a16="http://schemas.microsoft.com/office/drawing/2014/main" id="{00000000-0008-0000-0A00-0000047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708660</xdr:colOff>
      <xdr:row>74</xdr:row>
      <xdr:rowOff>22860</xdr:rowOff>
    </xdr:from>
    <xdr:to>
      <xdr:col>8</xdr:col>
      <xdr:colOff>579120</xdr:colOff>
      <xdr:row>155</xdr:row>
      <xdr:rowOff>60960</xdr:rowOff>
    </xdr:to>
    <xdr:sp macro="" textlink="">
      <xdr:nvSpPr>
        <xdr:cNvPr id="2" name="Text Box 8">
          <a:extLst>
            <a:ext uri="{FF2B5EF4-FFF2-40B4-BE49-F238E27FC236}">
              <a16:creationId xmlns:a16="http://schemas.microsoft.com/office/drawing/2014/main" id="{00000000-0008-0000-0B00-000002000000}"/>
            </a:ext>
          </a:extLst>
        </xdr:cNvPr>
        <xdr:cNvSpPr txBox="1">
          <a:spLocks noChangeArrowheads="1"/>
        </xdr:cNvSpPr>
      </xdr:nvSpPr>
      <xdr:spPr bwMode="auto">
        <a:xfrm>
          <a:off x="708660" y="11826240"/>
          <a:ext cx="7757160" cy="136169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kumimoji="0" lang="en-US" sz="1400" b="1" i="0" u="none" strike="noStrike" kern="0" cap="none" spc="0" normalizeH="0" baseline="0" noProof="0">
              <a:ln>
                <a:noFill/>
              </a:ln>
              <a:solidFill>
                <a:srgbClr val="000000"/>
              </a:solidFill>
              <a:effectLst/>
              <a:uLnTx/>
              <a:uFillTx/>
              <a:latin typeface="Arial"/>
              <a:ea typeface="+mn-ea"/>
              <a:cs typeface="Arial"/>
            </a:rPr>
            <a:t>Measurement Decision Risk Analysis</a:t>
          </a:r>
        </a:p>
        <a:p>
          <a:pPr marL="0" marR="0" lvl="0" indent="0" algn="l" defTabSz="914400" rtl="0" eaLnBrk="1" fontAlgn="auto" latinLnBrk="0" hangingPunct="1">
            <a:lnSpc>
              <a:spcPts val="14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(Measured REOP at Calculated TUR)</a:t>
          </a:r>
        </a:p>
        <a:p>
          <a:pPr marL="0" marR="0" lvl="0" indent="0" algn="l" defTabSz="914400" rtl="0" eaLnBrk="1" fontAlgn="auto" latinLnBrk="0" hangingPunct="1">
            <a:lnSpc>
              <a:spcPts val="14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tool provides a measurement decision  risk analysis of test points where the measurement reliability (REOP) is measured using calibration results data.  This means that the calculated TUR was in effect for the calibrations.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"Store and Return" returns the results of any changes to the following:</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Comments</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Assumed Average/Nominal (For SS Limits)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Note:  The REOP requirement and the Assumed Calibration Interval are stored on this worksheet and will be maintained between analyses.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"Cancel" returns without making any changes.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mn-cs"/>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lnSpc>
              <a:spcPts val="900"/>
            </a:lnSpc>
            <a:defRPr sz="1000"/>
          </a:pPr>
          <a:endParaRPr lang="en-US" sz="1100" b="1" i="0" u="none" strike="noStrike" baseline="0">
            <a:solidFill>
              <a:srgbClr val="000000"/>
            </a:solidFill>
            <a:effectLst/>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Definitions</a:t>
          </a:r>
          <a:r>
            <a:rPr lang="en-US" sz="1200" b="1" i="0" u="none" strike="noStrike" baseline="0" noProof="0">
              <a:solidFill>
                <a:srgbClr val="000000"/>
              </a:solidFill>
              <a:effectLst/>
              <a:latin typeface="Arial"/>
              <a:ea typeface="+mn-ea"/>
              <a:cs typeface="Arial"/>
            </a:rPr>
            <a:t>:</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Acceptance</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Rejection</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PFA + PFR (Probability of Wrong Decision)</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TUR:  </a:t>
          </a:r>
          <a:r>
            <a:rPr kumimoji="0" lang="en-US" sz="1000" b="0" i="0" u="none" strike="noStrike" kern="0" cap="none" spc="0" normalizeH="0" baseline="0" noProof="0">
              <a:ln>
                <a:noFill/>
              </a:ln>
              <a:solidFill>
                <a:srgbClr val="000000"/>
              </a:solidFill>
              <a:effectLst/>
              <a:uLnTx/>
              <a:uFillTx/>
              <a:latin typeface="Arial"/>
              <a:ea typeface="+mn-ea"/>
              <a:cs typeface="Arial"/>
            </a:rPr>
            <a:t>Test Uncertainty Ratio</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a:t>
          </a:r>
          <a:r>
            <a:rPr kumimoji="0" lang="en-US" sz="1000" b="0" i="0" u="none" strike="noStrike" kern="0" cap="none" spc="0" normalizeH="0" baseline="0" noProof="0">
              <a:ln>
                <a:noFill/>
              </a:ln>
              <a:solidFill>
                <a:srgbClr val="000000"/>
              </a:solidFill>
              <a:effectLst/>
              <a:uLnTx/>
              <a:uFillTx/>
              <a:latin typeface="Arial"/>
              <a:ea typeface="+mn-ea"/>
              <a:cs typeface="Arial"/>
            </a:rPr>
            <a:t>End of Period Reliability (In Tolerance probability at the end of the calibration interval)</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Assumptions:</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provides key inputs for the risk analysis.</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Enter the upper tolerance or error limit.  Leave blank for upper single sided limit.</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Enter the upper tolerance or error limit.  Leave blank for lower single sided limit.</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Test Uncertainty:  </a:t>
          </a:r>
          <a:r>
            <a:rPr kumimoji="0" lang="en-US" sz="1000" b="0" i="0" u="none" strike="noStrike" kern="0" cap="none" spc="0" normalizeH="0" baseline="0" noProof="0">
              <a:ln>
                <a:noFill/>
              </a:ln>
              <a:solidFill>
                <a:srgbClr val="000000"/>
              </a:solidFill>
              <a:effectLst/>
              <a:uLnTx/>
              <a:uFillTx/>
              <a:latin typeface="Arial"/>
              <a:ea typeface="+mn-ea"/>
              <a:cs typeface="Arial"/>
            </a:rPr>
            <a:t>Enter the calibration(or test) process expanded uncertainty.</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Uncertainty Confidence:  </a:t>
          </a:r>
          <a:r>
            <a:rPr kumimoji="0" lang="en-US" sz="1000" b="0" i="0" u="none" strike="noStrike" kern="0" cap="none" spc="0" normalizeH="0" baseline="0" noProof="0">
              <a:ln>
                <a:noFill/>
              </a:ln>
              <a:solidFill>
                <a:srgbClr val="000000"/>
              </a:solidFill>
              <a:effectLst/>
              <a:uLnTx/>
              <a:uFillTx/>
              <a:latin typeface="Arial"/>
              <a:ea typeface="+mn-ea"/>
              <a:cs typeface="Arial"/>
            </a:rPr>
            <a:t>Enter the uncertainty confidence for the Calibration Uncertainty (usually 95%).</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Calculated TUR:  </a:t>
          </a:r>
          <a:r>
            <a:rPr kumimoji="0" lang="en-US" sz="1000" b="0" i="0" u="none" strike="noStrike" kern="0" cap="none" spc="0" normalizeH="0" baseline="0" noProof="0">
              <a:ln>
                <a:noFill/>
              </a:ln>
              <a:solidFill>
                <a:srgbClr val="000000"/>
              </a:solidFill>
              <a:effectLst/>
              <a:uLnTx/>
              <a:uFillTx/>
              <a:latin typeface="Arial"/>
              <a:ea typeface="+mn-ea"/>
              <a:cs typeface="Arial"/>
            </a:rPr>
            <a:t>This is the tolerance span divided by the uncertainty confidence interval (often Error Limit / Cal Unc)</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required PFA value (usually 2%).</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Requirement</a:t>
          </a:r>
          <a:r>
            <a:rPr kumimoji="0" lang="en-US" sz="1000" b="0" i="0" u="none" strike="noStrike" kern="0" cap="none" spc="0" normalizeH="0" baseline="0" noProof="0">
              <a:ln>
                <a:noFill/>
              </a:ln>
              <a:solidFill>
                <a:srgbClr val="000000"/>
              </a:solidFill>
              <a:effectLst/>
              <a:uLnTx/>
              <a:uFillTx/>
              <a:latin typeface="Arial"/>
              <a:ea typeface="+mn-ea"/>
              <a:cs typeface="Arial"/>
            </a:rPr>
            <a:t>:  This is the target reliability used for calibration intervals (usually 85%).</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Measured Reliability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REOP based on calibration result data.</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Calibration Interval: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assumed by this analysis.</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defTabSz="914400" eaLnBrk="1" fontAlgn="auto" latinLnBrk="0" hangingPunct="1">
            <a:lnSpc>
              <a:spcPts val="900"/>
            </a:lnSpc>
            <a:spcBef>
              <a:spcPts val="0"/>
            </a:spcBef>
            <a:spcAft>
              <a:spcPts val="0"/>
            </a:spcAft>
            <a:buClrTx/>
            <a:buSzTx/>
            <a:buFontTx/>
            <a:buNone/>
            <a:tabLst/>
            <a:defRPr/>
          </a:pPr>
          <a:r>
            <a:rPr kumimoji="0" lang="en-US" sz="1000" b="1" i="0" u="none" strike="noStrike" kern="0" cap="none" spc="0" normalizeH="0" baseline="0" noProof="0">
              <a:ln>
                <a:noFill/>
              </a:ln>
              <a:solidFill>
                <a:srgbClr val="000000"/>
              </a:solidFill>
              <a:effectLst/>
              <a:uLnTx/>
              <a:uFillTx/>
              <a:latin typeface="Arial"/>
              <a:ea typeface="+mn-ea"/>
              <a:cs typeface="Arial"/>
            </a:rPr>
            <a:t>Assumed Average/Nominal (For SS Limits):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single sided limits, the threshold limit will have been entered and the other limit will have been left blank.  For a lower threshold (e.g., Power &gt; 5 w), the Lower Tolerance Limit is entered and the Upper Tolerance Limit is left blank.  For an upper threshold (e.g., Stray Voltage &lt;  5 mV), enter the the Upper Tolerance Limit is entered and Lower Tolerance Limit is left blank. If the average value for the UUT measurement can be obtained or assumed, enter this value here.  Alternatively, If there is no estimated average value, leave this blank.</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Measuring Resolution (Least Sig Digit):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resolution of the instrument used to measure the tolerances during a measurement test.  This Might NOT be the resolution of this UUT.  For example, if this UUT is a measurement source, the measuring resolution would be the resolution of the TMDE used to calibrate it.  If the TMDE is a measurement source, then the measuring resolution would be the resolution of this UUT.  Note: Resolution has the effect of shrinking tolerances and guard bands which, in turn, has the effect of decreasing the TUR and increasing the risk (PFA).</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lang="en-US" sz="1200" b="1" i="0" u="sng" strike="noStrike" baseline="0">
              <a:solidFill>
                <a:srgbClr val="000000"/>
              </a:solidFill>
              <a:effectLst/>
              <a:latin typeface="Arial"/>
              <a:ea typeface="+mn-ea"/>
              <a:cs typeface="Arial"/>
            </a:rPr>
            <a:t>Risk Results Based on Measured REOP:</a:t>
          </a:r>
        </a:p>
        <a:p>
          <a:pPr algn="l" rtl="0">
            <a:lnSpc>
              <a:spcPts val="900"/>
            </a:lnSpc>
            <a:defRPr sz="1000"/>
          </a:pPr>
          <a:endParaRPr lang="en-US" sz="1000" b="0" i="0" u="none" strike="noStrike" baseline="0">
            <a:solidFill>
              <a:srgbClr val="000000"/>
            </a:solidFill>
            <a:latin typeface="Arial"/>
            <a:cs typeface="Arial"/>
          </a:endParaRPr>
        </a:p>
        <a:p>
          <a:pPr algn="l" rtl="0">
            <a:lnSpc>
              <a:spcPts val="900"/>
            </a:lnSpc>
            <a:defRPr sz="1000"/>
          </a:pPr>
          <a:r>
            <a:rPr lang="en-US" sz="1000" b="0" i="0" u="none" strike="noStrike" baseline="0">
              <a:solidFill>
                <a:srgbClr val="000000"/>
              </a:solidFill>
              <a:latin typeface="Arial"/>
              <a:cs typeface="Arial"/>
            </a:rPr>
            <a:t>This section shows the risk calculations (PFA, PFR, Wrong Decision Rate) assuming the Measured REOP is achieved with the Calculated TUR.  It should be noted here that high values of Measured REOP with low values of TUR give unrealistic risk measures because this assumes the UUT would have unrealistically high true reliability.</a:t>
          </a:r>
        </a:p>
        <a:p>
          <a:pPr algn="l" rtl="0">
            <a:lnSpc>
              <a:spcPts val="900"/>
            </a:lnSpc>
            <a:defRPr sz="1000"/>
          </a:pPr>
          <a:endParaRPr lang="en-US" sz="1000" b="0" i="0" u="none" strike="noStrike" baseline="0">
            <a:solidFill>
              <a:srgbClr val="000000"/>
            </a:solidFill>
            <a:latin typeface="Arial"/>
            <a:cs typeface="Arial"/>
          </a:endParaRPr>
        </a:p>
        <a:p>
          <a:pPr algn="l" rtl="0">
            <a:lnSpc>
              <a:spcPts val="900"/>
            </a:lnSpc>
            <a:defRPr sz="1000"/>
          </a:pPr>
          <a:r>
            <a:rPr lang="en-US" sz="1000" b="0" i="0" u="none" strike="noStrike" baseline="0">
              <a:solidFill>
                <a:srgbClr val="000000"/>
              </a:solidFill>
              <a:latin typeface="Arial"/>
              <a:cs typeface="Arial"/>
            </a:rPr>
            <a:t>Generally, this will be used to assess risk for in-service instruments with calibration results.</a:t>
          </a:r>
        </a:p>
        <a:p>
          <a:pPr algn="l" rtl="0">
            <a:lnSpc>
              <a:spcPts val="1000"/>
            </a:lnSpc>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Based on Measured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if the Measured REOP was achieved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Based on Measured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if the Measured REOP was achieved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if the Measured REOP was achieved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Guard Bands Managed To Required REOP:</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shows the recommended guard bands to be applied if the PFA Requirement is not met.  The acceptance limits are calculated assuming the PFA and REOP Requirements.  Application of guard bands will decrease the REOP which will result in a decrease in the calibration interval.  The change to the interval is predicted.</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upper error limit by the Tolerance Limit Multiplier.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lower error limit by the Tolerance Limit Multiplier.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When Guard Bands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Are Applied to Meet 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Because calibration intervals are managed to the REOP Requirement, application of guard bands will cause a decrease in the calibration interval which is predicted here.</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shows the REOP that will be obtained with the new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Managing Risk With Calibration Intervals: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predicts the calibration interval that would be needed to meet the PFA Requirement without applying Guard Bands.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To Meet</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Without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that will give the Required PFA..</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Needed To Meet</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Without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reliability target needed to meet the PFA Requirement..</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only changing the interval.</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only changing the interval.</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only changing the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xdr:txBody>
    </xdr:sp>
    <xdr:clientData fPrintsWithSheet="0"/>
  </xdr:twoCellAnchor>
  <xdr:twoCellAnchor>
    <xdr:from>
      <xdr:col>5</xdr:col>
      <xdr:colOff>266700</xdr:colOff>
      <xdr:row>34</xdr:row>
      <xdr:rowOff>53340</xdr:rowOff>
    </xdr:from>
    <xdr:to>
      <xdr:col>7</xdr:col>
      <xdr:colOff>594360</xdr:colOff>
      <xdr:row>38</xdr:row>
      <xdr:rowOff>121920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141720" y="4206240"/>
          <a:ext cx="1600200" cy="739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Use this if the REOP is based on Calibration Results data.</a:t>
          </a:r>
        </a:p>
        <a:p>
          <a:endParaRPr lang="en-US" sz="800">
            <a:latin typeface="Arial" panose="020B0604020202020204" pitchFamily="34" charset="0"/>
            <a:cs typeface="Arial" panose="020B0604020202020204" pitchFamily="34" charset="0"/>
          </a:endParaRPr>
        </a:p>
        <a:p>
          <a:r>
            <a:rPr lang="en-US" sz="800">
              <a:latin typeface="Arial" panose="020B0604020202020204" pitchFamily="34" charset="0"/>
              <a:cs typeface="Arial" panose="020B0604020202020204" pitchFamily="34" charset="0"/>
            </a:rPr>
            <a:t>Gives unrealistic results for low Calculated TUR (TUR &lt;&lt;  2).</a:t>
          </a:r>
        </a:p>
      </xdr:txBody>
    </xdr:sp>
    <xdr:clientData/>
  </xdr:twoCellAnchor>
  <xdr:twoCellAnchor>
    <xdr:from>
      <xdr:col>5</xdr:col>
      <xdr:colOff>281940</xdr:colOff>
      <xdr:row>40</xdr:row>
      <xdr:rowOff>83820</xdr:rowOff>
    </xdr:from>
    <xdr:to>
      <xdr:col>7</xdr:col>
      <xdr:colOff>609600</xdr:colOff>
      <xdr:row>46</xdr:row>
      <xdr:rowOff>91440</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156960" y="4991100"/>
          <a:ext cx="16002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Use this if the REOP is based on an assumed value (usually the </a:t>
          </a:r>
          <a:r>
            <a:rPr lang="en-US" sz="800" baseline="0">
              <a:latin typeface="Arial" panose="020B0604020202020204" pitchFamily="34" charset="0"/>
              <a:cs typeface="Arial" panose="020B0604020202020204" pitchFamily="34" charset="0"/>
            </a:rPr>
            <a:t>REOP Requirement).  </a:t>
          </a:r>
          <a:r>
            <a:rPr lang="en-US" sz="800">
              <a:latin typeface="Arial" panose="020B0604020202020204" pitchFamily="34" charset="0"/>
              <a:cs typeface="Arial" panose="020B0604020202020204" pitchFamily="34" charset="0"/>
            </a:rPr>
            <a:t>This assumption also includes an assumed TUR (usually 4:1) needed to achieve the REOP.</a:t>
          </a:r>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0</xdr:row>
          <xdr:rowOff>104775</xdr:rowOff>
        </xdr:from>
        <xdr:to>
          <xdr:col>0</xdr:col>
          <xdr:colOff>1114425</xdr:colOff>
          <xdr:row>0</xdr:row>
          <xdr:rowOff>485775</xdr:rowOff>
        </xdr:to>
        <xdr:sp macro="" textlink="">
          <xdr:nvSpPr>
            <xdr:cNvPr id="357413" name="btnUncReturn" hidden="1">
              <a:extLst>
                <a:ext uri="{63B3BB69-23CF-44E3-9099-C40C66FF867C}">
                  <a14:compatExt spid="_x0000_s357413"/>
                </a:ext>
                <a:ext uri="{FF2B5EF4-FFF2-40B4-BE49-F238E27FC236}">
                  <a16:creationId xmlns:a16="http://schemas.microsoft.com/office/drawing/2014/main" id="{00000000-0008-0000-0B00-0000257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0</xdr:row>
          <xdr:rowOff>495300</xdr:rowOff>
        </xdr:from>
        <xdr:to>
          <xdr:col>0</xdr:col>
          <xdr:colOff>1114425</xdr:colOff>
          <xdr:row>1</xdr:row>
          <xdr:rowOff>304800</xdr:rowOff>
        </xdr:to>
        <xdr:sp macro="" textlink="">
          <xdr:nvSpPr>
            <xdr:cNvPr id="357414" name="btnCancel" hidden="1">
              <a:extLst>
                <a:ext uri="{63B3BB69-23CF-44E3-9099-C40C66FF867C}">
                  <a14:compatExt spid="_x0000_s357414"/>
                </a:ext>
                <a:ext uri="{FF2B5EF4-FFF2-40B4-BE49-F238E27FC236}">
                  <a16:creationId xmlns:a16="http://schemas.microsoft.com/office/drawing/2014/main" id="{00000000-0008-0000-0B00-0000267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502024</xdr:colOff>
      <xdr:row>21</xdr:row>
      <xdr:rowOff>125505</xdr:rowOff>
    </xdr:from>
    <xdr:to>
      <xdr:col>8</xdr:col>
      <xdr:colOff>322730</xdr:colOff>
      <xdr:row>83</xdr:row>
      <xdr:rowOff>62753</xdr:rowOff>
    </xdr:to>
    <xdr:sp macro="" textlink="">
      <xdr:nvSpPr>
        <xdr:cNvPr id="6" name="Text Box 8">
          <a:extLst>
            <a:ext uri="{FF2B5EF4-FFF2-40B4-BE49-F238E27FC236}">
              <a16:creationId xmlns:a16="http://schemas.microsoft.com/office/drawing/2014/main" id="{00000000-0008-0000-0C00-000006000000}"/>
            </a:ext>
          </a:extLst>
        </xdr:cNvPr>
        <xdr:cNvSpPr txBox="1">
          <a:spLocks noChangeArrowheads="1"/>
        </xdr:cNvSpPr>
      </xdr:nvSpPr>
      <xdr:spPr bwMode="auto">
        <a:xfrm>
          <a:off x="502024" y="7772399"/>
          <a:ext cx="7333130" cy="1049767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Tolerance Limit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tab provides the capability of using tolerance calculations to determine error limits.  "Store and Return" returns the error tolerance to the Uncertainty Budget.  "Automate Lower Limits" allows entry of upper limits (high values) with symmetric lower limits entered automatically. "EnterLower Limits" allows entry of asymmetric lower limits. "Clear" removes all the unprotected entries.  "Cancel" returns without updating the tolerances.  The measurement point can be modified in this tool.  Previoius entries are not cleared until "Clear" is used.</a:t>
          </a:r>
        </a:p>
        <a:p>
          <a:pPr algn="l" rtl="0">
            <a:defRPr sz="1000"/>
          </a:pPr>
          <a:endParaRPr lang="en-US" sz="1000" b="0" i="0" u="none" strike="noStrike" baseline="0">
            <a:solidFill>
              <a:srgbClr val="000000"/>
            </a:solidFill>
            <a:latin typeface="Arial"/>
            <a:cs typeface="Arial"/>
          </a:endParaRPr>
        </a:p>
        <a:p>
          <a:pPr algn="l" rtl="0">
            <a:defRPr sz="1000"/>
          </a:pPr>
          <a:r>
            <a:rPr lang="en-US" sz="1000">
              <a:solidFill>
                <a:srgbClr val="000000"/>
              </a:solidFill>
              <a:effectLst/>
              <a:latin typeface="Arial"/>
              <a:ea typeface="+mn-ea"/>
            </a:rPr>
            <a:t>DO NOT DELETE THIS SHEET OR ANY POPUP TOOL SHEETS. Doing so will disable this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effectLst/>
            <a:latin typeface="Arial"/>
            <a:ea typeface="+mn-ea"/>
            <a:cs typeface="Arial"/>
          </a:endParaRPr>
        </a:p>
        <a:p>
          <a:pPr algn="l" rtl="0">
            <a:defRPr sz="1000"/>
          </a:pPr>
          <a:r>
            <a:rPr lang="en-US" sz="1100" b="1" i="0" u="none" strike="noStrike" baseline="0">
              <a:solidFill>
                <a:srgbClr val="000000"/>
              </a:solidFill>
              <a:effectLst/>
              <a:latin typeface="Arial"/>
              <a:ea typeface="+mn-ea"/>
              <a:cs typeface="Arial"/>
            </a:rPr>
            <a:t>Percent Tolerance</a:t>
          </a:r>
          <a:r>
            <a:rPr lang="en-US" sz="1100" b="1" i="0" u="none" strike="noStrike" baseline="0">
              <a:solidFill>
                <a:srgbClr val="000000"/>
              </a:solidFill>
              <a:latin typeface="Arial"/>
              <a:cs typeface="Arial"/>
            </a:rPr>
            <a:t> </a:t>
          </a:r>
          <a:r>
            <a:rPr lang="en-US" sz="1100" b="1" i="0" u="none" strike="noStrike" baseline="0">
              <a:solidFill>
                <a:srgbClr val="000000"/>
              </a:solidFill>
              <a:effectLst/>
              <a:latin typeface="Arial"/>
              <a:ea typeface="+mn-ea"/>
              <a:cs typeface="Arial"/>
            </a:rPr>
            <a:t>Example</a:t>
          </a:r>
          <a:r>
            <a:rPr lang="en-US" sz="1100" b="1" i="0" u="none" strike="noStrike" baseline="0">
              <a:solidFill>
                <a:srgbClr val="000000"/>
              </a:solidFill>
              <a:latin typeface="Arial"/>
              <a:cs typeface="Arial"/>
            </a:rPr>
            <a:t>:</a:t>
          </a:r>
        </a:p>
        <a:p>
          <a:pPr algn="l" rtl="0">
            <a:defRPr sz="1000"/>
          </a:pPr>
          <a:endParaRPr lang="en-US" sz="1000" b="1" i="0" u="none" strike="noStrike" baseline="0">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1" i="0" u="none" strike="noStrike" baseline="0">
              <a:solidFill>
                <a:srgbClr val="000000"/>
              </a:solidFill>
              <a:latin typeface="Arial"/>
              <a:cs typeface="Arial"/>
            </a:rPr>
            <a:t>    </a:t>
          </a:r>
          <a:r>
            <a:rPr lang="en-US" sz="1000" b="0" i="0" u="none" strike="noStrike" baseline="0">
              <a:solidFill>
                <a:srgbClr val="000000"/>
              </a:solidFill>
              <a:effectLst/>
              <a:latin typeface="Arial"/>
              <a:ea typeface="+mn-ea"/>
              <a:cs typeface="Arial"/>
            </a:rPr>
            <a:t>Tolerances: ± (% of Reading + % of Range + Floor)</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u="none" strike="noStrike" baseline="0">
              <a:solidFill>
                <a:srgbClr val="000000"/>
              </a:solidFill>
              <a:effectLst/>
              <a:latin typeface="Arial"/>
              <a:ea typeface="+mn-ea"/>
              <a:cs typeface="Arial"/>
            </a:rPr>
            <a:t>    100 V Range: </a:t>
          </a:r>
          <a:r>
            <a:rPr lang="en-US" sz="1000" b="0">
              <a:effectLst/>
              <a:latin typeface="Arial" panose="020B0604020202020204" pitchFamily="34" charset="0"/>
              <a:ea typeface="+mn-ea"/>
              <a:cs typeface="Arial" panose="020B0604020202020204" pitchFamily="34" charset="0"/>
            </a:rPr>
            <a:t>±</a:t>
          </a:r>
          <a:r>
            <a:rPr lang="en-US" sz="1000" b="0" baseline="0">
              <a:effectLst/>
              <a:latin typeface="Arial" panose="020B0604020202020204" pitchFamily="34" charset="0"/>
              <a:ea typeface="+mn-ea"/>
              <a:cs typeface="Arial" panose="020B0604020202020204" pitchFamily="34" charset="0"/>
            </a:rPr>
            <a:t> ( 0.35 + 0.20 + 0.001 V) </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Enter the Range (FS) Value:  100</a:t>
          </a:r>
        </a:p>
        <a:p>
          <a:pPr algn="l" rtl="0">
            <a:defRPr sz="1000"/>
          </a:pPr>
          <a:endParaRPr lang="en-US" sz="1000" b="0" i="0" u="none" strike="noStrike" baseline="0">
            <a:solidFill>
              <a:srgbClr val="000000"/>
            </a:solidFill>
            <a:effectLst/>
            <a:latin typeface="Arial"/>
            <a:ea typeface="+mn-ea"/>
            <a:cs typeface="Arial"/>
          </a:endParaRPr>
        </a:p>
        <a:p>
          <a:pPr algn="l" rtl="0">
            <a:defRPr sz="1000"/>
          </a:pPr>
          <a:r>
            <a:rPr lang="en-US" sz="1000" b="0" i="0" u="none" strike="noStrike" baseline="0">
              <a:solidFill>
                <a:srgbClr val="000000"/>
              </a:solidFill>
              <a:latin typeface="Arial"/>
              <a:cs typeface="Arial"/>
            </a:rPr>
            <a:t>    Enter the  </a:t>
          </a:r>
          <a:r>
            <a:rPr lang="en-US" sz="1000" b="0" i="0" u="none" strike="noStrike" baseline="0">
              <a:solidFill>
                <a:srgbClr val="000000"/>
              </a:solidFill>
              <a:effectLst/>
              <a:latin typeface="Arial"/>
              <a:ea typeface="+mn-ea"/>
              <a:cs typeface="Arial"/>
            </a:rPr>
            <a:t>Reading</a:t>
          </a:r>
          <a:r>
            <a:rPr lang="en-US" sz="1000" b="0" i="0" u="none" strike="noStrike" baseline="0">
              <a:solidFill>
                <a:srgbClr val="000000"/>
              </a:solidFill>
              <a:latin typeface="Arial"/>
              <a:cs typeface="Arial"/>
            </a:rPr>
            <a:t> (IV) Tolerance Low Value:  -0.35</a:t>
          </a:r>
        </a:p>
        <a:p>
          <a:pPr algn="l" rtl="0">
            <a:defRPr sz="1000"/>
          </a:pPr>
          <a:r>
            <a:rPr lang="en-US" sz="1000" b="0" i="0" u="none" strike="noStrike" baseline="0">
              <a:solidFill>
                <a:srgbClr val="000000"/>
              </a:solidFill>
              <a:latin typeface="Arial"/>
              <a:cs typeface="Arial"/>
            </a:rPr>
            <a:t>    Enter the  Reading (IV) Tolerance High Value:  0.35</a:t>
          </a:r>
        </a:p>
        <a:p>
          <a:pPr algn="l" rtl="0">
            <a:defRPr sz="1000"/>
          </a:pPr>
          <a:r>
            <a:rPr lang="en-US" sz="1000" b="0" i="0" u="none" strike="noStrike" baseline="0">
              <a:solidFill>
                <a:srgbClr val="000000"/>
              </a:solidFill>
              <a:latin typeface="Arial"/>
              <a:cs typeface="Arial"/>
            </a:rPr>
            <a:t>    Use the drop down for the Reading (IV) Tolerance Units:  Percent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Enter the  Range (FS)  Tolerance Low Value:  -0.20</a:t>
          </a:r>
        </a:p>
        <a:p>
          <a:pPr algn="l" rtl="0">
            <a:defRPr sz="1000"/>
          </a:pPr>
          <a:r>
            <a:rPr lang="en-US" sz="1000" b="0" i="0" u="none" strike="noStrike" baseline="0">
              <a:solidFill>
                <a:srgbClr val="000000"/>
              </a:solidFill>
              <a:latin typeface="Arial"/>
              <a:cs typeface="Arial"/>
            </a:rPr>
            <a:t>    Enter the  Range (FS)  Tolerance High Value:  0.20</a:t>
          </a:r>
        </a:p>
        <a:p>
          <a:pPr algn="l" rtl="0">
            <a:defRPr sz="1000"/>
          </a:pPr>
          <a:r>
            <a:rPr lang="en-US" sz="1000" b="0" i="0" u="none" strike="noStrike" baseline="0">
              <a:solidFill>
                <a:srgbClr val="000000"/>
              </a:solidFill>
              <a:latin typeface="Arial"/>
              <a:cs typeface="Arial"/>
            </a:rPr>
            <a:t>    Use the drop down for the Range (FS) Tolerance Units:  Percent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Enter the  Floor Tolerance Low Value:  -0.001</a:t>
          </a:r>
        </a:p>
        <a:p>
          <a:pPr algn="l" rtl="0">
            <a:defRPr sz="1000"/>
          </a:pPr>
          <a:r>
            <a:rPr lang="en-US" sz="1000" b="0" i="0" u="none" strike="noStrike" baseline="0">
              <a:solidFill>
                <a:srgbClr val="000000"/>
              </a:solidFill>
              <a:latin typeface="Arial"/>
              <a:cs typeface="Arial"/>
            </a:rPr>
            <a:t>    Enter the  Floor Tolerance High Value:  0.001</a:t>
          </a:r>
        </a:p>
        <a:p>
          <a:pPr algn="l" rtl="0">
            <a:defRPr sz="1000"/>
          </a:pPr>
          <a:r>
            <a:rPr lang="en-US" sz="1000" b="0" i="0" u="none" strike="noStrike" baseline="0">
              <a:solidFill>
                <a:srgbClr val="000000"/>
              </a:solidFill>
              <a:latin typeface="Arial"/>
              <a:cs typeface="Arial"/>
            </a:rPr>
            <a:t>    Use the drop down for the Range (FS) Tolerance Units:  Value (Units) </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dB Tolerance Entries: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allows expressions of the form 10 mW ± 0.5 dB to be changed to tolerances in the correct units (e.g., 10 + 1.22  - 1.08 mW).  It is assumed that dB is calculated using:</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dB = (dB Equation Multiplier) * Log(  Measurement / (dB Equation Reference Value)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Some usual definitions include:</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Voltage:  dB = 20 * Log(  Measurement / (dB Equation Reference Value)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Power:    dB = 10 * Log(  Measurement / (dB Equation Reference Value)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Power:    dBW = 10 * Log(  Measurement / 1 W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Power:    dBm = 10 * Log(  Measurement / 1 mW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 tolerance contributions are calculated by:</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Error Tolerance = (dB Equation Reference Value)  * AntiLog( (dB - Tolerance)/(dB Equation Multiplier) ) -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Measurement</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Usually, dB Equation Multiplier will be 10 (for power measurements) or 20 (otherwise).  As an example, for dBm use 10 for the dB Equation Multiplier and 1 for the dB Equation Reference Value.  Both the x and the x must be entered for the dB Tolerances to be calculated.</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dB Tolerance Entries can be used separately, or with the other tolerance contributions.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Example (10 mW ± 0.5 dB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Tolerance Low Value:  -0.05</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Tolerance Tolerance High Value:  0.05</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Equation Multiplier:  10</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Reference Value:  1</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Conversion Calculations: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These cells are for convenience in converting from dB to measurements or measurements to dB  The Calculated Measurement Value uses the dB Value in the following formula:</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Calculated Measurement Value = (dB Equation Reference Value)  * AntiLog( (dB Value)/(dB Equation Multiplier) )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The Calculated dB Value uses Measurement Value in the following formula:</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Calculated dB Value = (dB Equation Multiplier) * Log(  Measurement Value / (dB Equation Reference Value)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endParaRPr lang="en-US" sz="1000" b="0" i="0" u="none" strike="noStrike" baseline="0">
            <a:solidFill>
              <a:srgbClr val="000000"/>
            </a:solidFill>
            <a:latin typeface="Arial"/>
            <a:cs typeface="Arial"/>
          </a:endParaRP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180975</xdr:colOff>
          <xdr:row>0</xdr:row>
          <xdr:rowOff>123825</xdr:rowOff>
        </xdr:from>
        <xdr:to>
          <xdr:col>0</xdr:col>
          <xdr:colOff>1152525</xdr:colOff>
          <xdr:row>2</xdr:row>
          <xdr:rowOff>85725</xdr:rowOff>
        </xdr:to>
        <xdr:sp macro="" textlink="">
          <xdr:nvSpPr>
            <xdr:cNvPr id="171014" name="Button 6" hidden="1">
              <a:extLst>
                <a:ext uri="{63B3BB69-23CF-44E3-9099-C40C66FF867C}">
                  <a14:compatExt spid="_x0000_s171014"/>
                </a:ext>
                <a:ext uri="{FF2B5EF4-FFF2-40B4-BE49-F238E27FC236}">
                  <a16:creationId xmlns:a16="http://schemas.microsoft.com/office/drawing/2014/main" id="{00000000-0008-0000-0C00-000006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2</xdr:row>
          <xdr:rowOff>104775</xdr:rowOff>
        </xdr:from>
        <xdr:to>
          <xdr:col>0</xdr:col>
          <xdr:colOff>1152525</xdr:colOff>
          <xdr:row>2</xdr:row>
          <xdr:rowOff>533400</xdr:rowOff>
        </xdr:to>
        <xdr:sp macro="" textlink="">
          <xdr:nvSpPr>
            <xdr:cNvPr id="171016" name="btnLowLimit" hidden="1">
              <a:extLst>
                <a:ext uri="{63B3BB69-23CF-44E3-9099-C40C66FF867C}">
                  <a14:compatExt spid="_x0000_s171016"/>
                </a:ext>
                <a:ext uri="{FF2B5EF4-FFF2-40B4-BE49-F238E27FC236}">
                  <a16:creationId xmlns:a16="http://schemas.microsoft.com/office/drawing/2014/main" id="{00000000-0008-0000-0C00-000008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Enter</a:t>
              </a:r>
            </a:p>
            <a:p>
              <a:pPr algn="ctr" rtl="0">
                <a:defRPr sz="1000"/>
              </a:pPr>
              <a:r>
                <a:rPr lang="en-US" sz="900" b="0" i="0" u="none" strike="noStrike" baseline="0">
                  <a:solidFill>
                    <a:srgbClr val="000000"/>
                  </a:solidFill>
                  <a:latin typeface="Arial"/>
                  <a:cs typeface="Arial"/>
                </a:rPr>
                <a:t>Lower Limits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2</xdr:row>
          <xdr:rowOff>561975</xdr:rowOff>
        </xdr:from>
        <xdr:to>
          <xdr:col>0</xdr:col>
          <xdr:colOff>1152525</xdr:colOff>
          <xdr:row>3</xdr:row>
          <xdr:rowOff>390525</xdr:rowOff>
        </xdr:to>
        <xdr:sp macro="" textlink="">
          <xdr:nvSpPr>
            <xdr:cNvPr id="171017" name="Button 9" hidden="1">
              <a:extLst>
                <a:ext uri="{63B3BB69-23CF-44E3-9099-C40C66FF867C}">
                  <a14:compatExt spid="_x0000_s171017"/>
                </a:ext>
                <a:ext uri="{FF2B5EF4-FFF2-40B4-BE49-F238E27FC236}">
                  <a16:creationId xmlns:a16="http://schemas.microsoft.com/office/drawing/2014/main" id="{00000000-0008-0000-0C00-000009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3</xdr:row>
          <xdr:rowOff>428625</xdr:rowOff>
        </xdr:from>
        <xdr:to>
          <xdr:col>0</xdr:col>
          <xdr:colOff>1152525</xdr:colOff>
          <xdr:row>5</xdr:row>
          <xdr:rowOff>152400</xdr:rowOff>
        </xdr:to>
        <xdr:sp macro="" textlink="">
          <xdr:nvSpPr>
            <xdr:cNvPr id="171018" name="Button 10" hidden="1">
              <a:extLst>
                <a:ext uri="{63B3BB69-23CF-44E3-9099-C40C66FF867C}">
                  <a14:compatExt spid="_x0000_s171018"/>
                </a:ext>
                <a:ext uri="{FF2B5EF4-FFF2-40B4-BE49-F238E27FC236}">
                  <a16:creationId xmlns:a16="http://schemas.microsoft.com/office/drawing/2014/main" id="{00000000-0008-0000-0C00-00000A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7620</xdr:colOff>
      <xdr:row>42</xdr:row>
      <xdr:rowOff>7620</xdr:rowOff>
    </xdr:from>
    <xdr:to>
      <xdr:col>8</xdr:col>
      <xdr:colOff>0</xdr:colOff>
      <xdr:row>130</xdr:row>
      <xdr:rowOff>76200</xdr:rowOff>
    </xdr:to>
    <xdr:sp macro="" textlink="">
      <xdr:nvSpPr>
        <xdr:cNvPr id="2" name="Text Box 8">
          <a:extLst>
            <a:ext uri="{FF2B5EF4-FFF2-40B4-BE49-F238E27FC236}">
              <a16:creationId xmlns:a16="http://schemas.microsoft.com/office/drawing/2014/main" id="{00000000-0008-0000-0D00-000002000000}"/>
            </a:ext>
          </a:extLst>
        </xdr:cNvPr>
        <xdr:cNvSpPr txBox="1">
          <a:spLocks noChangeArrowheads="1"/>
        </xdr:cNvSpPr>
      </xdr:nvSpPr>
      <xdr:spPr bwMode="auto">
        <a:xfrm>
          <a:off x="1104900" y="9159240"/>
          <a:ext cx="7673340" cy="14820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Measurement Uncertainty Budget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worksheet provides the capability of combining standard uncertainties into a measurement uncertainty budget.  Type B uncertainties are obtained by entering the assumed error limit and the probability distribution assumption.  Type A (repeatability) uncertainties are obtained by pressing "Repeatability Tool".  An influence chart showing the percentage contribution of each error source (calculated as the squared standard uncertainty percentage of the squared combined uncertainty) is also available by pressing "Influence Chart".</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 outputs include a combined uncertainty and an expanded uncertainty.  Degrees of freedom are supported if desired.  Use "Copy From Prior Test Step" to use the uncertainty analysis from the prior test step.  "Cancel" returns without updating the uncertainty analysis.  "Store Uncertainty Analysis" returns the results of this analysis.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lvl="0" algn="l" rtl="0">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Tolerance Expression Error Limits</a:t>
          </a:r>
        </a:p>
        <a:p>
          <a:pPr marL="182880" lvl="1"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Tolerance limit expressions can be used to calculate error limits.  When the "Tolerance Limit Tool" button is pressed, a tolerance limit tool is shown that allows the entry of a tolerance limit expression such as ±  (% Reading + % Range).  The resultant tolerance is then returned to the Error Limit column.</a:t>
          </a:r>
        </a:p>
        <a:p>
          <a:pPr marL="182880" lvl="1"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182880" lvl="1"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 tolerance expressions used for each error component row are stored separately.  These tolerance expressions are applied to the current Measurement Point when the "Copy From Prior Test Step" and "Update Tol Expr Error Limits" buttons are pressed.</a:t>
          </a:r>
        </a:p>
        <a:p>
          <a:pPr marL="182880" lvl="1"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182880" lvl="1"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 Calibration Standard tolerance calculated using the "CALSTD Tolerance Tool" on the test points tab can be used as an error limit by pressing the "Use CALSTD Tolerance" button.  This associates the CALSTD tolerance expression with that error component row.</a:t>
          </a:r>
        </a:p>
        <a:p>
          <a:pPr lvl="1"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r>
            <a:rPr lang="en-US" sz="1000" b="1" i="0" u="none" strike="noStrike" baseline="0">
              <a:solidFill>
                <a:srgbClr val="000000"/>
              </a:solidFill>
              <a:latin typeface="Arial"/>
              <a:cs typeface="Arial"/>
            </a:rPr>
            <a:t>Uncertainty Budget Columns:</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Error Sources:  Identify the error source (e.g., Repeatability, Resolution, ...)</a:t>
          </a:r>
        </a:p>
        <a:p>
          <a:pPr algn="l" rtl="0">
            <a:defRPr sz="1000"/>
          </a:pPr>
          <a:r>
            <a:rPr lang="en-US" sz="1000" b="0" i="0" u="none" strike="noStrike" baseline="0">
              <a:solidFill>
                <a:srgbClr val="000000"/>
              </a:solidFill>
              <a:latin typeface="Arial"/>
              <a:cs typeface="Arial"/>
            </a:rPr>
            <a:t>    Error Limit (or Std Unc):  Enter the maximum error for the error source or the standard uncertainty.</a:t>
          </a:r>
        </a:p>
        <a:p>
          <a:pPr algn="l" rtl="0">
            <a:defRPr sz="1000"/>
          </a:pPr>
          <a:r>
            <a:rPr lang="en-US" sz="1000" b="0" i="0" u="none" strike="noStrike" baseline="0">
              <a:solidFill>
                <a:srgbClr val="000000"/>
              </a:solidFill>
              <a:latin typeface="Arial"/>
              <a:cs typeface="Arial"/>
            </a:rPr>
            <a:t>    Error Limit Distribution:  Choose the probability distribution for the error source or indicate standard uncertainty.</a:t>
          </a:r>
        </a:p>
        <a:p>
          <a:pPr algn="l" rtl="0">
            <a:defRPr sz="1000"/>
          </a:pPr>
          <a:r>
            <a:rPr lang="en-US" sz="1000" b="0" i="0" u="none" strike="noStrike" baseline="0">
              <a:solidFill>
                <a:srgbClr val="000000"/>
              </a:solidFill>
              <a:latin typeface="Arial"/>
              <a:cs typeface="Arial"/>
            </a:rPr>
            <a:t>    Uncertainty Type:  Identify whether the uncertainty calculation is Type A or B (Optional).</a:t>
          </a:r>
        </a:p>
        <a:p>
          <a:pPr algn="l" rtl="0">
            <a:defRPr sz="1000"/>
          </a:pPr>
          <a:r>
            <a:rPr lang="en-US" sz="1000" b="0" i="0" u="none" strike="noStrike" baseline="0">
              <a:solidFill>
                <a:srgbClr val="000000"/>
              </a:solidFill>
              <a:latin typeface="Arial"/>
              <a:cs typeface="Arial"/>
            </a:rPr>
            <a:t>    Degrees of Freedom:  Enter the degrees of freedom (can be obtained from Repeatability Tab) (Optional).</a:t>
          </a:r>
        </a:p>
        <a:p>
          <a:pPr algn="l" rtl="0">
            <a:defRPr sz="1000"/>
          </a:pPr>
          <a:r>
            <a:rPr lang="en-US" sz="1000" b="0" i="0" u="none" strike="noStrike" baseline="0">
              <a:solidFill>
                <a:srgbClr val="000000"/>
              </a:solidFill>
              <a:latin typeface="Arial"/>
              <a:cs typeface="Arial"/>
            </a:rPr>
            <a:t>    Standard Uncertainty:  Calculated based on the error limit and error distribution columns.</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Measurement Equation (Additive):</a:t>
          </a:r>
        </a:p>
        <a:p>
          <a:pPr algn="l" rtl="0">
            <a:defRPr sz="1000"/>
          </a:pPr>
          <a:r>
            <a:rPr lang="en-US" sz="1000" b="0" i="0" u="none" strike="noStrike" baseline="0">
              <a:solidFill>
                <a:srgbClr val="000000"/>
              </a:solidFill>
              <a:latin typeface="Arial"/>
              <a:cs typeface="Arial"/>
            </a:rPr>
            <a:t>    Write the measurement equation in terms of the true value and measurement errors.</a:t>
          </a:r>
        </a:p>
        <a:p>
          <a:pPr algn="l" rtl="0">
            <a:defRPr sz="1000"/>
          </a:pPr>
          <a:r>
            <a:rPr lang="en-US" sz="1000" b="0" i="0" u="none" strike="noStrike" baseline="0">
              <a:solidFill>
                <a:srgbClr val="000000"/>
              </a:solidFill>
              <a:latin typeface="Arial"/>
              <a:cs typeface="Arial"/>
            </a:rPr>
            <a:t>    Use "True" to indicate the true value (the value based on the measurment's physical definition).</a:t>
          </a:r>
        </a:p>
        <a:p>
          <a:pPr algn="l" rtl="0">
            <a:defRPr sz="1000"/>
          </a:pPr>
          <a:r>
            <a:rPr lang="en-US" sz="1000" b="0" i="0" u="none" strike="noStrike" baseline="0">
              <a:solidFill>
                <a:srgbClr val="000000"/>
              </a:solidFill>
              <a:latin typeface="Arial"/>
              <a:cs typeface="Arial"/>
            </a:rPr>
            <a:t>    Use e(error source) to indicate a measurement error (e.g., e(Repeatability)).</a:t>
          </a:r>
        </a:p>
        <a:p>
          <a:pPr algn="l" rtl="0">
            <a:defRPr sz="1000"/>
          </a:pPr>
          <a:r>
            <a:rPr lang="en-US" sz="1000" b="0" i="0" u="none" strike="noStrike" baseline="0">
              <a:solidFill>
                <a:srgbClr val="000000"/>
              </a:solidFill>
              <a:latin typeface="Arial"/>
              <a:cs typeface="Arial"/>
            </a:rPr>
            <a:t>    Example:  Voltage = True + e(Cal Std) + e(Repeatability) + e(Resolution)</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Combined Uncertainty Results: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Combined Uncertainty:  Calculated from the standard uncertainties in the uncertainty budget</a:t>
          </a:r>
        </a:p>
        <a:p>
          <a:pPr algn="l" rtl="0">
            <a:defRPr sz="1000"/>
          </a:pPr>
          <a:r>
            <a:rPr lang="en-US" sz="1000" b="0" i="0" u="none" strike="noStrike" baseline="0">
              <a:solidFill>
                <a:srgbClr val="000000"/>
              </a:solidFill>
              <a:latin typeface="Arial"/>
              <a:cs typeface="Arial"/>
            </a:rPr>
            <a:t>    Uncertainty Confidence:  Enter the confidence level desired (usually 95%).</a:t>
          </a:r>
        </a:p>
        <a:p>
          <a:pPr algn="l" rtl="0">
            <a:defRPr sz="1000"/>
          </a:pPr>
          <a:r>
            <a:rPr lang="en-US" sz="1000" b="0" i="0" u="none" strike="noStrike" baseline="0">
              <a:solidFill>
                <a:srgbClr val="000000"/>
              </a:solidFill>
              <a:latin typeface="Arial"/>
              <a:cs typeface="Arial"/>
            </a:rPr>
            <a:t>    Effective Degrees of Freedom:  Calculated using the Welch Satterthwaite approximation if necessary.</a:t>
          </a:r>
        </a:p>
        <a:p>
          <a:pPr algn="l" rtl="0">
            <a:defRPr sz="1000"/>
          </a:pPr>
          <a:r>
            <a:rPr lang="en-US" sz="1000" b="0" i="0" u="none" strike="noStrike" baseline="0">
              <a:solidFill>
                <a:srgbClr val="000000"/>
              </a:solidFill>
              <a:latin typeface="Arial"/>
              <a:cs typeface="Arial"/>
            </a:rPr>
            <a:t>    Coverage Factor:  Multiplier for the expanded uncertainty based on the t or Normal distributions as appropriate.</a:t>
          </a:r>
        </a:p>
        <a:p>
          <a:pPr algn="l" rtl="0">
            <a:defRPr sz="1000"/>
          </a:pPr>
          <a:r>
            <a:rPr lang="en-US" sz="1000" b="0" i="0" u="none" strike="noStrike" baseline="0">
              <a:solidFill>
                <a:srgbClr val="000000"/>
              </a:solidFill>
              <a:latin typeface="Arial"/>
              <a:cs typeface="Arial"/>
            </a:rPr>
            <a:t>    Expanded Uncertainty:  Measurement error confidence limit calculated using the combined uncertainty results.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Distribution Assumptions: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Normal (x% k=z):  Use for parameters with a central tendency.  Std Unc = Error Limit / z</a:t>
          </a:r>
        </a:p>
        <a:p>
          <a:pPr algn="l" rtl="0">
            <a:defRPr sz="1000"/>
          </a:pPr>
          <a:r>
            <a:rPr lang="en-US" sz="1000" b="0" i="0" u="none" strike="noStrike" baseline="0">
              <a:solidFill>
                <a:srgbClr val="000000"/>
              </a:solidFill>
              <a:latin typeface="Arial"/>
              <a:cs typeface="Arial"/>
            </a:rPr>
            <a:t>    Other (Std Unc):  Use if std unc was calculated elsewhere assuming some "Other" distribution.  Std Unc = Error Limit / 1</a:t>
          </a:r>
        </a:p>
        <a:p>
          <a:pPr algn="l" rtl="0">
            <a:defRPr sz="1000"/>
          </a:pPr>
          <a:r>
            <a:rPr lang="en-US" sz="1000" b="0" i="0" u="none" strike="noStrike" baseline="0">
              <a:solidFill>
                <a:srgbClr val="000000"/>
              </a:solidFill>
              <a:latin typeface="Arial"/>
              <a:cs typeface="Arial"/>
            </a:rPr>
            <a:t>    Rayleigh:  Generally used for mismatch error (max or 3 sigma error).  Std Unc = Error Limit /  4.179 = Error Limit * 0.239292</a:t>
          </a:r>
        </a:p>
        <a:p>
          <a:pPr algn="l" rtl="0">
            <a:defRPr sz="1000"/>
          </a:pPr>
          <a:r>
            <a:rPr lang="en-US" sz="1000" b="0" i="0" u="none" strike="noStrike" baseline="0">
              <a:solidFill>
                <a:srgbClr val="000000"/>
              </a:solidFill>
              <a:latin typeface="Arial"/>
              <a:cs typeface="Arial"/>
            </a:rPr>
            <a:t>    Rectangular  Use for specifications, or where no other information is available.  Std Unc = Error Limit / Sqrt( 3 )</a:t>
          </a:r>
        </a:p>
        <a:p>
          <a:pPr algn="l" rtl="0">
            <a:defRPr sz="1000"/>
          </a:pPr>
          <a:r>
            <a:rPr lang="en-US" sz="1000" b="0" i="0" u="none" strike="noStrike" baseline="0">
              <a:solidFill>
                <a:srgbClr val="000000"/>
              </a:solidFill>
              <a:latin typeface="Arial"/>
              <a:cs typeface="Arial"/>
            </a:rPr>
            <a:t>    Rectangular (Resolution):  Enter the magnitude of the smallest readable indication.   Std Unc = Error Limit / Sqrt( 12 )</a:t>
          </a:r>
        </a:p>
        <a:p>
          <a:pPr algn="l" rtl="0">
            <a:defRPr sz="1000"/>
          </a:pPr>
          <a:r>
            <a:rPr lang="en-US" sz="1000" b="0" i="0" u="none" strike="noStrike" baseline="0">
              <a:solidFill>
                <a:srgbClr val="000000"/>
              </a:solidFill>
              <a:latin typeface="Arial"/>
              <a:cs typeface="Arial"/>
            </a:rPr>
            <a:t>    Rectangular (Upper Limit):  Use for single sided errors.   Std Unc = Error Limit / Sqrt( 12 )</a:t>
          </a:r>
        </a:p>
        <a:p>
          <a:pPr algn="l" rtl="0">
            <a:defRPr sz="1000"/>
          </a:pPr>
          <a:r>
            <a:rPr lang="en-US" sz="1000" b="0" i="0" u="none" strike="noStrike" baseline="0">
              <a:solidFill>
                <a:srgbClr val="000000"/>
              </a:solidFill>
              <a:latin typeface="Arial"/>
              <a:cs typeface="Arial"/>
            </a:rPr>
            <a:t>    Standard Uncertainty:  Use for standard uncertainty calculated using the Repeatability Tab.  Std Unc = Error Limit / 1</a:t>
          </a:r>
        </a:p>
        <a:p>
          <a:pPr algn="l" rtl="0">
            <a:defRPr sz="1000"/>
          </a:pPr>
          <a:r>
            <a:rPr lang="en-US" sz="1000" b="0" i="0" u="none" strike="noStrike" baseline="0">
              <a:solidFill>
                <a:srgbClr val="000000"/>
              </a:solidFill>
              <a:latin typeface="Arial"/>
              <a:cs typeface="Arial"/>
            </a:rPr>
            <a:t>    Triangular:  Use for bounded parameters that have a central tendency.  Std Unc = Error Limit / Sqrt( 6 )</a:t>
          </a:r>
        </a:p>
        <a:p>
          <a:pPr algn="l" rtl="0">
            <a:defRPr sz="1000"/>
          </a:pPr>
          <a:r>
            <a:rPr lang="en-US" sz="1000" b="0" i="0" u="none" strike="noStrike" baseline="0">
              <a:solidFill>
                <a:srgbClr val="000000"/>
              </a:solidFill>
              <a:latin typeface="Arial"/>
              <a:cs typeface="Arial"/>
            </a:rPr>
            <a:t>    U-Shaped:  Use for cyclic data such as temperature control.  Std Unc = Error Limit / Sqrt( 2 )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Repeatability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Repeatability</a:t>
          </a:r>
        </a:p>
        <a:p>
          <a:pPr algn="l" rtl="0">
            <a:defRPr sz="1000"/>
          </a:pPr>
          <a:r>
            <a:rPr lang="en-US" sz="1000" b="0" i="0" u="none" strike="noStrike" baseline="0">
              <a:solidFill>
                <a:srgbClr val="000000"/>
              </a:solidFill>
              <a:latin typeface="Arial"/>
              <a:cs typeface="Arial"/>
            </a:rPr>
            <a:t>    Error Limit (or Std Unc):  Enter the standard uncertainty calculated in the Repeatability Form.</a:t>
          </a:r>
        </a:p>
        <a:p>
          <a:pPr algn="l" rtl="0">
            <a:defRPr sz="1000"/>
          </a:pPr>
          <a:r>
            <a:rPr lang="en-US" sz="1000" b="0" i="0" u="none" strike="noStrike" baseline="0">
              <a:solidFill>
                <a:srgbClr val="000000"/>
              </a:solidFill>
              <a:latin typeface="Arial"/>
              <a:cs typeface="Arial"/>
            </a:rPr>
            <a:t>    Error Limit Distribution:  Choose "Standard Uncertainty" or "Normal (Std Unc)".</a:t>
          </a:r>
        </a:p>
        <a:p>
          <a:pPr algn="l" rtl="0">
            <a:defRPr sz="1000"/>
          </a:pPr>
          <a:r>
            <a:rPr lang="en-US" sz="1000" b="0" i="0" u="none" strike="noStrike" baseline="0">
              <a:solidFill>
                <a:srgbClr val="000000"/>
              </a:solidFill>
              <a:latin typeface="Arial"/>
              <a:cs typeface="Arial"/>
            </a:rPr>
            <a:t>    Uncertainty Type:  Choose Type A (Optional).</a:t>
          </a:r>
        </a:p>
        <a:p>
          <a:pPr algn="l" rtl="0">
            <a:defRPr sz="1000"/>
          </a:pPr>
          <a:r>
            <a:rPr lang="en-US" sz="1000" b="0" i="0" u="none" strike="noStrike" baseline="0">
              <a:solidFill>
                <a:srgbClr val="000000"/>
              </a:solidFill>
              <a:latin typeface="Arial"/>
              <a:cs typeface="Arial"/>
            </a:rPr>
            <a:t>    Degrees of Freedom:  Enter the degrees of freedom obtained from Repeatability Tab (Optional).</a:t>
          </a:r>
        </a:p>
        <a:p>
          <a:pPr algn="l" rtl="0">
            <a:defRPr sz="1000"/>
          </a:pPr>
          <a:r>
            <a:rPr lang="en-US" sz="1000" b="0" i="0" u="none" strike="noStrike" baseline="0">
              <a:solidFill>
                <a:srgbClr val="000000"/>
              </a:solidFill>
              <a:latin typeface="Arial"/>
              <a:cs typeface="Arial"/>
            </a:rPr>
            <a:t>    Standard Uncertainty:  Will be the same as the standard uncertainty entered in  the error limit column.</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Resolution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Resolution</a:t>
          </a:r>
        </a:p>
        <a:p>
          <a:pPr algn="l" rtl="0">
            <a:defRPr sz="1000"/>
          </a:pPr>
          <a:r>
            <a:rPr lang="en-US" sz="1000" b="0" i="0" u="none" strike="noStrike" baseline="0">
              <a:solidFill>
                <a:srgbClr val="000000"/>
              </a:solidFill>
              <a:latin typeface="Arial"/>
              <a:cs typeface="Arial"/>
            </a:rPr>
            <a:t>    Error Limit (or Std Unc):  Enter the smallest digit readable (eg., 0.001 for 10.493 reading)</a:t>
          </a:r>
        </a:p>
        <a:p>
          <a:pPr algn="l" rtl="0">
            <a:defRPr sz="1000"/>
          </a:pPr>
          <a:r>
            <a:rPr lang="en-US" sz="1000" b="0" i="0" u="none" strike="noStrike" baseline="0">
              <a:solidFill>
                <a:srgbClr val="000000"/>
              </a:solidFill>
              <a:latin typeface="Arial"/>
              <a:cs typeface="Arial"/>
            </a:rPr>
            <a:t>    Error Limit Distribution:  Choose "Rectangular (Resolution)".</a:t>
          </a:r>
        </a:p>
        <a:p>
          <a:pPr algn="l" rtl="0">
            <a:defRPr sz="1000"/>
          </a:pPr>
          <a:r>
            <a:rPr lang="en-US" sz="1000" b="0" i="0" u="none" strike="noStrike" baseline="0">
              <a:solidFill>
                <a:srgbClr val="000000"/>
              </a:solidFill>
              <a:latin typeface="Arial"/>
              <a:cs typeface="Arial"/>
            </a:rPr>
            <a:t>    Uncertainty Type:  Choose Type B (Optional).</a:t>
          </a:r>
        </a:p>
        <a:p>
          <a:pPr algn="l" rtl="0">
            <a:defRPr sz="1000"/>
          </a:pPr>
          <a:r>
            <a:rPr lang="en-US" sz="1000" b="0" i="0" u="none" strike="noStrike" baseline="0">
              <a:solidFill>
                <a:srgbClr val="000000"/>
              </a:solidFill>
              <a:latin typeface="Arial"/>
              <a:cs typeface="Arial"/>
            </a:rPr>
            <a:t>    Degrees of Freedom:  Leave blank.</a:t>
          </a:r>
        </a:p>
        <a:p>
          <a:pPr algn="l" rtl="0">
            <a:defRPr sz="1000"/>
          </a:pPr>
          <a:r>
            <a:rPr lang="en-US" sz="1000" b="0" i="0" u="none" strike="noStrike" baseline="0">
              <a:solidFill>
                <a:srgbClr val="000000"/>
              </a:solidFill>
              <a:latin typeface="Arial"/>
              <a:cs typeface="Arial"/>
            </a:rPr>
            <a:t>    Standard Uncertainty:  Calculated by dividing error limit by sqrt( 12 ).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Calibration Certificate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Calibration Certificate</a:t>
          </a:r>
        </a:p>
        <a:p>
          <a:pPr algn="l" rtl="0">
            <a:defRPr sz="1000"/>
          </a:pPr>
          <a:r>
            <a:rPr lang="en-US" sz="1000" b="0" i="0" u="none" strike="noStrike" baseline="0">
              <a:solidFill>
                <a:srgbClr val="000000"/>
              </a:solidFill>
              <a:latin typeface="Arial"/>
              <a:cs typeface="Arial"/>
            </a:rPr>
            <a:t>    Error Limit (or Std Unc):  Enter the uncertainty provided on the Calibration Certificate</a:t>
          </a:r>
        </a:p>
        <a:p>
          <a:pPr algn="l" rtl="0">
            <a:defRPr sz="1000"/>
          </a:pPr>
          <a:r>
            <a:rPr lang="en-US" sz="1000" b="0" i="0" u="none" strike="noStrike" baseline="0">
              <a:solidFill>
                <a:srgbClr val="000000"/>
              </a:solidFill>
              <a:latin typeface="Arial"/>
              <a:cs typeface="Arial"/>
            </a:rPr>
            <a:t>    Error Limit Distribution:  Choose "Normal (95.45% k=2)".</a:t>
          </a:r>
        </a:p>
        <a:p>
          <a:pPr algn="l" rtl="0">
            <a:defRPr sz="1000"/>
          </a:pPr>
          <a:r>
            <a:rPr lang="en-US" sz="1000" b="0" i="0" u="none" strike="noStrike" baseline="0">
              <a:solidFill>
                <a:srgbClr val="000000"/>
              </a:solidFill>
              <a:latin typeface="Arial"/>
              <a:cs typeface="Arial"/>
            </a:rPr>
            <a:t>    Uncertainty Type:  Choose Type B (Optional).</a:t>
          </a:r>
        </a:p>
        <a:p>
          <a:pPr algn="l" rtl="0">
            <a:defRPr sz="1000"/>
          </a:pPr>
          <a:r>
            <a:rPr lang="en-US" sz="1000" b="0" i="0" u="none" strike="noStrike" baseline="0">
              <a:solidFill>
                <a:srgbClr val="000000"/>
              </a:solidFill>
              <a:latin typeface="Arial"/>
              <a:cs typeface="Arial"/>
            </a:rPr>
            <a:t>    Degrees of Freedom:  Leave blank (or enter if provided on calibration certificate).</a:t>
          </a:r>
        </a:p>
        <a:p>
          <a:pPr algn="l" rtl="0">
            <a:defRPr sz="1000"/>
          </a:pPr>
          <a:r>
            <a:rPr lang="en-US" sz="1000" b="0" i="0" u="none" strike="noStrike" baseline="0">
              <a:solidFill>
                <a:srgbClr val="000000"/>
              </a:solidFill>
              <a:latin typeface="Arial"/>
              <a:cs typeface="Arial"/>
            </a:rPr>
            <a:t>    Standard Uncertainty:  Calculated by dividing error limit by k=2.</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Engineering Estimate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Engineering Estimate (Enter specifics)</a:t>
          </a:r>
        </a:p>
        <a:p>
          <a:pPr algn="l" rtl="0">
            <a:defRPr sz="1000"/>
          </a:pPr>
          <a:r>
            <a:rPr lang="en-US" sz="1000" b="0" i="0" u="none" strike="noStrike" baseline="0">
              <a:solidFill>
                <a:srgbClr val="000000"/>
              </a:solidFill>
              <a:latin typeface="Arial"/>
              <a:cs typeface="Arial"/>
            </a:rPr>
            <a:t>    Error Limit (or Std Unc):  Enter the maximum error estimated by engineering evaluation</a:t>
          </a:r>
        </a:p>
        <a:p>
          <a:pPr algn="l" rtl="0">
            <a:defRPr sz="1000"/>
          </a:pPr>
          <a:r>
            <a:rPr lang="en-US" sz="1000" b="0" i="0" u="none" strike="noStrike" baseline="0">
              <a:solidFill>
                <a:srgbClr val="000000"/>
              </a:solidFill>
              <a:latin typeface="Arial"/>
              <a:cs typeface="Arial"/>
            </a:rPr>
            <a:t>    Error Limit Distribution:  Choose "Rectangular".</a:t>
          </a:r>
        </a:p>
        <a:p>
          <a:pPr algn="l" rtl="0">
            <a:defRPr sz="1000"/>
          </a:pPr>
          <a:r>
            <a:rPr lang="en-US" sz="1000" b="0" i="0" u="none" strike="noStrike" baseline="0">
              <a:solidFill>
                <a:srgbClr val="000000"/>
              </a:solidFill>
              <a:latin typeface="Arial"/>
              <a:cs typeface="Arial"/>
            </a:rPr>
            <a:t>    Uncertainty Type:  Choose Type B (Optional).</a:t>
          </a:r>
        </a:p>
        <a:p>
          <a:pPr algn="l" rtl="0">
            <a:defRPr sz="1000"/>
          </a:pPr>
          <a:r>
            <a:rPr lang="en-US" sz="1000" b="0" i="0" u="none" strike="noStrike" baseline="0">
              <a:solidFill>
                <a:srgbClr val="000000"/>
              </a:solidFill>
              <a:latin typeface="Arial"/>
              <a:cs typeface="Arial"/>
            </a:rPr>
            <a:t>    Degrees of Freedom:  Leave blank.</a:t>
          </a:r>
        </a:p>
        <a:p>
          <a:pPr algn="l" rtl="0">
            <a:defRPr sz="1000"/>
          </a:pPr>
          <a:r>
            <a:rPr lang="en-US" sz="1000" b="0" i="0" u="none" strike="noStrike" baseline="0">
              <a:solidFill>
                <a:srgbClr val="000000"/>
              </a:solidFill>
              <a:latin typeface="Arial"/>
              <a:cs typeface="Arial"/>
            </a:rPr>
            <a:t>    Standard Uncertainty:  Calculated by dividing error limit by sqrt( 3 ).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Alternative Engineering Estimate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Engineering Estimate (Enter specifics)</a:t>
          </a:r>
        </a:p>
        <a:p>
          <a:pPr algn="l" rtl="0">
            <a:defRPr sz="1000"/>
          </a:pPr>
          <a:r>
            <a:rPr lang="en-US" sz="1000" b="0" i="0" u="none" strike="noStrike" baseline="0">
              <a:solidFill>
                <a:srgbClr val="000000"/>
              </a:solidFill>
              <a:latin typeface="Arial"/>
              <a:cs typeface="Arial"/>
            </a:rPr>
            <a:t>    Error Limit (or Std Unc):  Enter the maximum error estimated by engineering evaluation</a:t>
          </a:r>
        </a:p>
        <a:p>
          <a:pPr algn="l" rtl="0">
            <a:defRPr sz="1000"/>
          </a:pPr>
          <a:r>
            <a:rPr lang="en-US" sz="1000" b="0" i="0" u="none" strike="noStrike" baseline="0">
              <a:solidFill>
                <a:srgbClr val="000000"/>
              </a:solidFill>
              <a:latin typeface="Arial"/>
              <a:cs typeface="Arial"/>
            </a:rPr>
            <a:t>    Error Limit Distribution:  Choose "Normal (x% k=z)" where x is the percentage of errors contained by the error limits.</a:t>
          </a:r>
        </a:p>
        <a:p>
          <a:pPr algn="l" rtl="0">
            <a:defRPr sz="1000"/>
          </a:pPr>
          <a:r>
            <a:rPr lang="en-US" sz="1000" b="0" i="0" u="none" strike="noStrike" baseline="0">
              <a:solidFill>
                <a:srgbClr val="000000"/>
              </a:solidFill>
              <a:latin typeface="Arial"/>
              <a:cs typeface="Arial"/>
            </a:rPr>
            <a:t>    Uncertainty Type:  Choose Type B (Optional).</a:t>
          </a:r>
        </a:p>
        <a:p>
          <a:pPr algn="l" rtl="0">
            <a:defRPr sz="1000"/>
          </a:pPr>
          <a:r>
            <a:rPr lang="en-US" sz="1000" b="0" i="0" u="none" strike="noStrike" baseline="0">
              <a:solidFill>
                <a:srgbClr val="000000"/>
              </a:solidFill>
              <a:latin typeface="Arial"/>
              <a:cs typeface="Arial"/>
            </a:rPr>
            <a:t>    Degrees of Freedom:  Leave blank.</a:t>
          </a:r>
        </a:p>
        <a:p>
          <a:pPr algn="l" rtl="0">
            <a:defRPr sz="1000"/>
          </a:pPr>
          <a:r>
            <a:rPr lang="en-US" sz="1000" b="0" i="0" u="none" strike="noStrike" baseline="0">
              <a:solidFill>
                <a:srgbClr val="000000"/>
              </a:solidFill>
              <a:latin typeface="Arial"/>
              <a:cs typeface="Arial"/>
            </a:rPr>
            <a:t>    Standard Uncertainty:  Calculated by dividing error limit by k=z.</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17</xdr:col>
      <xdr:colOff>80010</xdr:colOff>
      <xdr:row>0</xdr:row>
      <xdr:rowOff>68580</xdr:rowOff>
    </xdr:from>
    <xdr:to>
      <xdr:col>28</xdr:col>
      <xdr:colOff>342900</xdr:colOff>
      <xdr:row>28</xdr:row>
      <xdr:rowOff>45720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123825</xdr:colOff>
          <xdr:row>37</xdr:row>
          <xdr:rowOff>85725</xdr:rowOff>
        </xdr:from>
        <xdr:to>
          <xdr:col>4</xdr:col>
          <xdr:colOff>276225</xdr:colOff>
          <xdr:row>37</xdr:row>
          <xdr:rowOff>190500</xdr:rowOff>
        </xdr:to>
        <xdr:sp macro="" textlink="">
          <xdr:nvSpPr>
            <xdr:cNvPr id="275466" name="chkDF" hidden="1">
              <a:extLst>
                <a:ext uri="{63B3BB69-23CF-44E3-9099-C40C66FF867C}">
                  <a14:compatExt spid="_x0000_s275466"/>
                </a:ext>
                <a:ext uri="{FF2B5EF4-FFF2-40B4-BE49-F238E27FC236}">
                  <a16:creationId xmlns:a16="http://schemas.microsoft.com/office/drawing/2014/main" id="{00000000-0008-0000-0D00-00000A3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twoCellAnchor editAs="oneCell">
    <xdr:from>
      <xdr:col>4</xdr:col>
      <xdr:colOff>365760</xdr:colOff>
      <xdr:row>36</xdr:row>
      <xdr:rowOff>281940</xdr:rowOff>
    </xdr:from>
    <xdr:to>
      <xdr:col>5</xdr:col>
      <xdr:colOff>297180</xdr:colOff>
      <xdr:row>38</xdr:row>
      <xdr:rowOff>53340</xdr:rowOff>
    </xdr:to>
    <xdr:sp macro="" textlink="">
      <xdr:nvSpPr>
        <xdr:cNvPr id="14" name="TextBox 13">
          <a:extLst>
            <a:ext uri="{FF2B5EF4-FFF2-40B4-BE49-F238E27FC236}">
              <a16:creationId xmlns:a16="http://schemas.microsoft.com/office/drawing/2014/main" id="{00000000-0008-0000-0D00-00000E000000}"/>
            </a:ext>
          </a:extLst>
        </xdr:cNvPr>
        <xdr:cNvSpPr txBox="1"/>
      </xdr:nvSpPr>
      <xdr:spPr>
        <a:xfrm>
          <a:off x="5013960" y="7947660"/>
          <a:ext cx="1600200" cy="32766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latin typeface="Arial" panose="020B0604020202020204" pitchFamily="34" charset="0"/>
              <a:cs typeface="Arial" panose="020B0604020202020204" pitchFamily="34" charset="0"/>
            </a:rPr>
            <a:t>Use Degrees of Freedom?</a:t>
          </a: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104775</xdr:colOff>
          <xdr:row>0</xdr:row>
          <xdr:rowOff>66675</xdr:rowOff>
        </xdr:from>
        <xdr:to>
          <xdr:col>0</xdr:col>
          <xdr:colOff>1019175</xdr:colOff>
          <xdr:row>1</xdr:row>
          <xdr:rowOff>142875</xdr:rowOff>
        </xdr:to>
        <xdr:sp macro="" textlink="">
          <xdr:nvSpPr>
            <xdr:cNvPr id="275468" name="btnUncReturn" hidden="1">
              <a:extLst>
                <a:ext uri="{63B3BB69-23CF-44E3-9099-C40C66FF867C}">
                  <a14:compatExt spid="_x0000_s275468"/>
                </a:ext>
                <a:ext uri="{FF2B5EF4-FFF2-40B4-BE49-F238E27FC236}">
                  <a16:creationId xmlns:a16="http://schemas.microsoft.com/office/drawing/2014/main" id="{00000000-0008-0000-0D00-00000C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1</xdr:row>
          <xdr:rowOff>152400</xdr:rowOff>
        </xdr:from>
        <xdr:to>
          <xdr:col>0</xdr:col>
          <xdr:colOff>1019175</xdr:colOff>
          <xdr:row>2</xdr:row>
          <xdr:rowOff>152400</xdr:rowOff>
        </xdr:to>
        <xdr:sp macro="" textlink="">
          <xdr:nvSpPr>
            <xdr:cNvPr id="275469" name="btnCopyBudget" hidden="1">
              <a:extLst>
                <a:ext uri="{63B3BB69-23CF-44E3-9099-C40C66FF867C}">
                  <a14:compatExt spid="_x0000_s275469"/>
                </a:ext>
                <a:ext uri="{FF2B5EF4-FFF2-40B4-BE49-F238E27FC236}">
                  <a16:creationId xmlns:a16="http://schemas.microsoft.com/office/drawing/2014/main" id="{00000000-0008-0000-0D00-00000D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a:t>
              </a:r>
            </a:p>
            <a:p>
              <a:pPr algn="ctr" rtl="0">
                <a:defRPr sz="1000"/>
              </a:pPr>
              <a:r>
                <a:rPr lang="en-US" sz="900" b="0" i="0" u="none" strike="noStrike" baseline="0">
                  <a:solidFill>
                    <a:srgbClr val="000000"/>
                  </a:solidFill>
                  <a:latin typeface="Arial"/>
                  <a:cs typeface="Arial"/>
                </a:rPr>
                <a:t>Prior Test Step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2</xdr:row>
          <xdr:rowOff>161925</xdr:rowOff>
        </xdr:from>
        <xdr:to>
          <xdr:col>0</xdr:col>
          <xdr:colOff>1019175</xdr:colOff>
          <xdr:row>5</xdr:row>
          <xdr:rowOff>9525</xdr:rowOff>
        </xdr:to>
        <xdr:sp macro="" textlink="">
          <xdr:nvSpPr>
            <xdr:cNvPr id="275471" name="btnCALTol" hidden="1">
              <a:extLst>
                <a:ext uri="{63B3BB69-23CF-44E3-9099-C40C66FF867C}">
                  <a14:compatExt spid="_x0000_s275471"/>
                </a:ext>
                <a:ext uri="{FF2B5EF4-FFF2-40B4-BE49-F238E27FC236}">
                  <a16:creationId xmlns:a16="http://schemas.microsoft.com/office/drawing/2014/main" id="{00000000-0008-0000-0D00-00000F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Use TMDE</a:t>
              </a:r>
            </a:p>
            <a:p>
              <a:pPr algn="ctr" rtl="0">
                <a:defRPr sz="1000"/>
              </a:pPr>
              <a:r>
                <a:rPr lang="en-US" sz="900" b="0" i="0" u="none" strike="noStrike" baseline="0">
                  <a:solidFill>
                    <a:srgbClr val="000000"/>
                  </a:solidFill>
                  <a:latin typeface="Arial"/>
                  <a:cs typeface="Arial"/>
                </a:rPr>
                <a:t>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5</xdr:row>
          <xdr:rowOff>28575</xdr:rowOff>
        </xdr:from>
        <xdr:to>
          <xdr:col>0</xdr:col>
          <xdr:colOff>1019175</xdr:colOff>
          <xdr:row>7</xdr:row>
          <xdr:rowOff>66675</xdr:rowOff>
        </xdr:to>
        <xdr:sp macro="" textlink="">
          <xdr:nvSpPr>
            <xdr:cNvPr id="275472" name="btnUpdate" hidden="1">
              <a:extLst>
                <a:ext uri="{63B3BB69-23CF-44E3-9099-C40C66FF867C}">
                  <a14:compatExt spid="_x0000_s275472"/>
                </a:ext>
                <a:ext uri="{FF2B5EF4-FFF2-40B4-BE49-F238E27FC236}">
                  <a16:creationId xmlns:a16="http://schemas.microsoft.com/office/drawing/2014/main" id="{00000000-0008-0000-0D00-000010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Use Measuring </a:t>
              </a:r>
            </a:p>
            <a:p>
              <a:pPr algn="ctr" rtl="0">
                <a:defRPr sz="1000"/>
              </a:pPr>
              <a:r>
                <a:rPr lang="en-US" sz="900" b="0" i="0" u="none" strike="noStrike" baseline="0">
                  <a:solidFill>
                    <a:srgbClr val="000000"/>
                  </a:solidFill>
                  <a:latin typeface="Arial"/>
                  <a:cs typeface="Arial"/>
                </a:rPr>
                <a:t>Resolution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7</xdr:row>
          <xdr:rowOff>85725</xdr:rowOff>
        </xdr:from>
        <xdr:to>
          <xdr:col>0</xdr:col>
          <xdr:colOff>1019175</xdr:colOff>
          <xdr:row>9</xdr:row>
          <xdr:rowOff>123825</xdr:rowOff>
        </xdr:to>
        <xdr:sp macro="" textlink="">
          <xdr:nvSpPr>
            <xdr:cNvPr id="275473" name="btnClear" hidden="1">
              <a:extLst>
                <a:ext uri="{63B3BB69-23CF-44E3-9099-C40C66FF867C}">
                  <a14:compatExt spid="_x0000_s275473"/>
                </a:ext>
                <a:ext uri="{FF2B5EF4-FFF2-40B4-BE49-F238E27FC236}">
                  <a16:creationId xmlns:a16="http://schemas.microsoft.com/office/drawing/2014/main" id="{00000000-0008-0000-0D00-000011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9</xdr:row>
          <xdr:rowOff>142875</xdr:rowOff>
        </xdr:from>
        <xdr:to>
          <xdr:col>0</xdr:col>
          <xdr:colOff>1019175</xdr:colOff>
          <xdr:row>12</xdr:row>
          <xdr:rowOff>28575</xdr:rowOff>
        </xdr:to>
        <xdr:sp macro="" textlink="">
          <xdr:nvSpPr>
            <xdr:cNvPr id="275474" name="btnCancel" hidden="1">
              <a:extLst>
                <a:ext uri="{63B3BB69-23CF-44E3-9099-C40C66FF867C}">
                  <a14:compatExt spid="_x0000_s275474"/>
                </a:ext>
                <a:ext uri="{FF2B5EF4-FFF2-40B4-BE49-F238E27FC236}">
                  <a16:creationId xmlns:a16="http://schemas.microsoft.com/office/drawing/2014/main" id="{00000000-0008-0000-0D00-000012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16</xdr:row>
          <xdr:rowOff>85725</xdr:rowOff>
        </xdr:from>
        <xdr:to>
          <xdr:col>0</xdr:col>
          <xdr:colOff>1019175</xdr:colOff>
          <xdr:row>18</xdr:row>
          <xdr:rowOff>142875</xdr:rowOff>
        </xdr:to>
        <xdr:sp macro="" textlink="">
          <xdr:nvSpPr>
            <xdr:cNvPr id="275475" name="btnBudget" hidden="1">
              <a:extLst>
                <a:ext uri="{63B3BB69-23CF-44E3-9099-C40C66FF867C}">
                  <a14:compatExt spid="_x0000_s275475"/>
                </a:ext>
                <a:ext uri="{FF2B5EF4-FFF2-40B4-BE49-F238E27FC236}">
                  <a16:creationId xmlns:a16="http://schemas.microsoft.com/office/drawing/2014/main" id="{00000000-0008-0000-0D00-000013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Uncertainty</a:t>
              </a:r>
            </a:p>
            <a:p>
              <a:pPr algn="ctr" rtl="0">
                <a:defRPr sz="1000"/>
              </a:pPr>
              <a:r>
                <a:rPr lang="en-US" sz="900" b="0" i="0" u="none" strike="noStrike" baseline="0">
                  <a:solidFill>
                    <a:srgbClr val="000000"/>
                  </a:solidFill>
                  <a:latin typeface="Arial"/>
                  <a:cs typeface="Arial"/>
                </a:rPr>
                <a:t>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18</xdr:row>
          <xdr:rowOff>152400</xdr:rowOff>
        </xdr:from>
        <xdr:to>
          <xdr:col>0</xdr:col>
          <xdr:colOff>1019175</xdr:colOff>
          <xdr:row>21</xdr:row>
          <xdr:rowOff>28575</xdr:rowOff>
        </xdr:to>
        <xdr:sp macro="" textlink="">
          <xdr:nvSpPr>
            <xdr:cNvPr id="275476" name="btnRep" hidden="1">
              <a:extLst>
                <a:ext uri="{63B3BB69-23CF-44E3-9099-C40C66FF867C}">
                  <a14:compatExt spid="_x0000_s275476"/>
                </a:ext>
                <a:ext uri="{FF2B5EF4-FFF2-40B4-BE49-F238E27FC236}">
                  <a16:creationId xmlns:a16="http://schemas.microsoft.com/office/drawing/2014/main" id="{00000000-0008-0000-0D00-000014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Repeatability</a:t>
              </a:r>
            </a:p>
            <a:p>
              <a:pPr algn="ctr" rtl="0">
                <a:defRPr sz="1000"/>
              </a:pPr>
              <a:r>
                <a:rPr lang="en-US" sz="900" b="0" i="0" u="none" strike="noStrike" baseline="0">
                  <a:solidFill>
                    <a:srgbClr val="000000"/>
                  </a:solidFill>
                  <a:latin typeface="Arial"/>
                  <a:cs typeface="Arial"/>
                </a:rPr>
                <a:t>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21</xdr:row>
          <xdr:rowOff>38100</xdr:rowOff>
        </xdr:from>
        <xdr:to>
          <xdr:col>0</xdr:col>
          <xdr:colOff>1019175</xdr:colOff>
          <xdr:row>23</xdr:row>
          <xdr:rowOff>85725</xdr:rowOff>
        </xdr:to>
        <xdr:sp macro="" textlink="">
          <xdr:nvSpPr>
            <xdr:cNvPr id="275477" name="btnTolLimit" hidden="1">
              <a:extLst>
                <a:ext uri="{63B3BB69-23CF-44E3-9099-C40C66FF867C}">
                  <a14:compatExt spid="_x0000_s275477"/>
                </a:ext>
                <a:ext uri="{FF2B5EF4-FFF2-40B4-BE49-F238E27FC236}">
                  <a16:creationId xmlns:a16="http://schemas.microsoft.com/office/drawing/2014/main" id="{00000000-0008-0000-0D00-000015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Tolerance</a:t>
              </a:r>
            </a:p>
            <a:p>
              <a:pPr algn="ctr" rtl="0">
                <a:defRPr sz="1000"/>
              </a:pPr>
              <a:r>
                <a:rPr lang="en-US" sz="900" b="0" i="0" u="none" strike="noStrike" baseline="0">
                  <a:solidFill>
                    <a:srgbClr val="000000"/>
                  </a:solidFill>
                  <a:latin typeface="Arial"/>
                  <a:cs typeface="Arial"/>
                </a:rPr>
                <a:t>Limit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23</xdr:row>
          <xdr:rowOff>85725</xdr:rowOff>
        </xdr:from>
        <xdr:to>
          <xdr:col>0</xdr:col>
          <xdr:colOff>1019175</xdr:colOff>
          <xdr:row>25</xdr:row>
          <xdr:rowOff>76200</xdr:rowOff>
        </xdr:to>
        <xdr:sp macro="" textlink="">
          <xdr:nvSpPr>
            <xdr:cNvPr id="275478" name="btnChart" hidden="1">
              <a:extLst>
                <a:ext uri="{63B3BB69-23CF-44E3-9099-C40C66FF867C}">
                  <a14:compatExt spid="_x0000_s275478"/>
                </a:ext>
                <a:ext uri="{FF2B5EF4-FFF2-40B4-BE49-F238E27FC236}">
                  <a16:creationId xmlns:a16="http://schemas.microsoft.com/office/drawing/2014/main" id="{00000000-0008-0000-0D00-000016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Influence</a:t>
              </a:r>
            </a:p>
            <a:p>
              <a:pPr algn="ctr" rtl="0">
                <a:defRPr sz="1000"/>
              </a:pPr>
              <a:r>
                <a:rPr lang="en-US" sz="900" b="0" i="0" u="none" strike="noStrike" baseline="0">
                  <a:solidFill>
                    <a:srgbClr val="000000"/>
                  </a:solidFill>
                  <a:latin typeface="Arial"/>
                  <a:cs typeface="Arial"/>
                </a:rPr>
                <a:t>Chart</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3.x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27.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7.vml"/><Relationship Id="rId7"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52.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12.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nalysisInfo">
    <pageSetUpPr fitToPage="1"/>
  </sheetPr>
  <dimension ref="B2:I11"/>
  <sheetViews>
    <sheetView showGridLines="0" tabSelected="1" zoomScaleNormal="100" workbookViewId="0">
      <selection activeCell="D7" sqref="D7:H11"/>
    </sheetView>
  </sheetViews>
  <sheetFormatPr defaultColWidth="9.140625" defaultRowHeight="12.75" x14ac:dyDescent="0.2"/>
  <cols>
    <col min="1" max="1" width="3.5703125" style="6" customWidth="1"/>
    <col min="2" max="2" width="3" style="6" customWidth="1"/>
    <col min="3" max="3" width="28.85546875" style="6" customWidth="1"/>
    <col min="4" max="4" width="14" style="6" customWidth="1"/>
    <col min="5" max="5" width="24.42578125" style="6" customWidth="1"/>
    <col min="6" max="7" width="11" style="6" customWidth="1"/>
    <col min="8" max="8" width="13.85546875" style="6" customWidth="1"/>
    <col min="9" max="9" width="13.85546875" style="6" hidden="1" customWidth="1"/>
    <col min="10" max="10" width="13.85546875" style="6" customWidth="1"/>
    <col min="11" max="246" width="9.140625" style="6"/>
    <col min="247" max="247" width="3" style="6" customWidth="1"/>
    <col min="248" max="248" width="28.85546875" style="6" customWidth="1"/>
    <col min="249" max="249" width="14" style="6" customWidth="1"/>
    <col min="250" max="250" width="24.42578125" style="6" customWidth="1"/>
    <col min="251" max="252" width="11" style="6" customWidth="1"/>
    <col min="253" max="253" width="13.85546875" style="6" customWidth="1"/>
    <col min="254" max="258" width="0" style="6" hidden="1" customWidth="1"/>
    <col min="259" max="502" width="9.140625" style="6"/>
    <col min="503" max="503" width="3" style="6" customWidth="1"/>
    <col min="504" max="504" width="28.85546875" style="6" customWidth="1"/>
    <col min="505" max="505" width="14" style="6" customWidth="1"/>
    <col min="506" max="506" width="24.42578125" style="6" customWidth="1"/>
    <col min="507" max="508" width="11" style="6" customWidth="1"/>
    <col min="509" max="509" width="13.85546875" style="6" customWidth="1"/>
    <col min="510" max="514" width="0" style="6" hidden="1" customWidth="1"/>
    <col min="515" max="758" width="9.140625" style="6"/>
    <col min="759" max="759" width="3" style="6" customWidth="1"/>
    <col min="760" max="760" width="28.85546875" style="6" customWidth="1"/>
    <col min="761" max="761" width="14" style="6" customWidth="1"/>
    <col min="762" max="762" width="24.42578125" style="6" customWidth="1"/>
    <col min="763" max="764" width="11" style="6" customWidth="1"/>
    <col min="765" max="765" width="13.85546875" style="6" customWidth="1"/>
    <col min="766" max="770" width="0" style="6" hidden="1" customWidth="1"/>
    <col min="771" max="1014" width="9.140625" style="6"/>
    <col min="1015" max="1015" width="3" style="6" customWidth="1"/>
    <col min="1016" max="1016" width="28.85546875" style="6" customWidth="1"/>
    <col min="1017" max="1017" width="14" style="6" customWidth="1"/>
    <col min="1018" max="1018" width="24.42578125" style="6" customWidth="1"/>
    <col min="1019" max="1020" width="11" style="6" customWidth="1"/>
    <col min="1021" max="1021" width="13.85546875" style="6" customWidth="1"/>
    <col min="1022" max="1026" width="0" style="6" hidden="1" customWidth="1"/>
    <col min="1027" max="1270" width="9.140625" style="6"/>
    <col min="1271" max="1271" width="3" style="6" customWidth="1"/>
    <col min="1272" max="1272" width="28.85546875" style="6" customWidth="1"/>
    <col min="1273" max="1273" width="14" style="6" customWidth="1"/>
    <col min="1274" max="1274" width="24.42578125" style="6" customWidth="1"/>
    <col min="1275" max="1276" width="11" style="6" customWidth="1"/>
    <col min="1277" max="1277" width="13.85546875" style="6" customWidth="1"/>
    <col min="1278" max="1282" width="0" style="6" hidden="1" customWidth="1"/>
    <col min="1283" max="1526" width="9.140625" style="6"/>
    <col min="1527" max="1527" width="3" style="6" customWidth="1"/>
    <col min="1528" max="1528" width="28.85546875" style="6" customWidth="1"/>
    <col min="1529" max="1529" width="14" style="6" customWidth="1"/>
    <col min="1530" max="1530" width="24.42578125" style="6" customWidth="1"/>
    <col min="1531" max="1532" width="11" style="6" customWidth="1"/>
    <col min="1533" max="1533" width="13.85546875" style="6" customWidth="1"/>
    <col min="1534" max="1538" width="0" style="6" hidden="1" customWidth="1"/>
    <col min="1539" max="1782" width="9.140625" style="6"/>
    <col min="1783" max="1783" width="3" style="6" customWidth="1"/>
    <col min="1784" max="1784" width="28.85546875" style="6" customWidth="1"/>
    <col min="1785" max="1785" width="14" style="6" customWidth="1"/>
    <col min="1786" max="1786" width="24.42578125" style="6" customWidth="1"/>
    <col min="1787" max="1788" width="11" style="6" customWidth="1"/>
    <col min="1789" max="1789" width="13.85546875" style="6" customWidth="1"/>
    <col min="1790" max="1794" width="0" style="6" hidden="1" customWidth="1"/>
    <col min="1795" max="2038" width="9.140625" style="6"/>
    <col min="2039" max="2039" width="3" style="6" customWidth="1"/>
    <col min="2040" max="2040" width="28.85546875" style="6" customWidth="1"/>
    <col min="2041" max="2041" width="14" style="6" customWidth="1"/>
    <col min="2042" max="2042" width="24.42578125" style="6" customWidth="1"/>
    <col min="2043" max="2044" width="11" style="6" customWidth="1"/>
    <col min="2045" max="2045" width="13.85546875" style="6" customWidth="1"/>
    <col min="2046" max="2050" width="0" style="6" hidden="1" customWidth="1"/>
    <col min="2051" max="2294" width="9.140625" style="6"/>
    <col min="2295" max="2295" width="3" style="6" customWidth="1"/>
    <col min="2296" max="2296" width="28.85546875" style="6" customWidth="1"/>
    <col min="2297" max="2297" width="14" style="6" customWidth="1"/>
    <col min="2298" max="2298" width="24.42578125" style="6" customWidth="1"/>
    <col min="2299" max="2300" width="11" style="6" customWidth="1"/>
    <col min="2301" max="2301" width="13.85546875" style="6" customWidth="1"/>
    <col min="2302" max="2306" width="0" style="6" hidden="1" customWidth="1"/>
    <col min="2307" max="2550" width="9.140625" style="6"/>
    <col min="2551" max="2551" width="3" style="6" customWidth="1"/>
    <col min="2552" max="2552" width="28.85546875" style="6" customWidth="1"/>
    <col min="2553" max="2553" width="14" style="6" customWidth="1"/>
    <col min="2554" max="2554" width="24.42578125" style="6" customWidth="1"/>
    <col min="2555" max="2556" width="11" style="6" customWidth="1"/>
    <col min="2557" max="2557" width="13.85546875" style="6" customWidth="1"/>
    <col min="2558" max="2562" width="0" style="6" hidden="1" customWidth="1"/>
    <col min="2563" max="2806" width="9.140625" style="6"/>
    <col min="2807" max="2807" width="3" style="6" customWidth="1"/>
    <col min="2808" max="2808" width="28.85546875" style="6" customWidth="1"/>
    <col min="2809" max="2809" width="14" style="6" customWidth="1"/>
    <col min="2810" max="2810" width="24.42578125" style="6" customWidth="1"/>
    <col min="2811" max="2812" width="11" style="6" customWidth="1"/>
    <col min="2813" max="2813" width="13.85546875" style="6" customWidth="1"/>
    <col min="2814" max="2818" width="0" style="6" hidden="1" customWidth="1"/>
    <col min="2819" max="3062" width="9.140625" style="6"/>
    <col min="3063" max="3063" width="3" style="6" customWidth="1"/>
    <col min="3064" max="3064" width="28.85546875" style="6" customWidth="1"/>
    <col min="3065" max="3065" width="14" style="6" customWidth="1"/>
    <col min="3066" max="3066" width="24.42578125" style="6" customWidth="1"/>
    <col min="3067" max="3068" width="11" style="6" customWidth="1"/>
    <col min="3069" max="3069" width="13.85546875" style="6" customWidth="1"/>
    <col min="3070" max="3074" width="0" style="6" hidden="1" customWidth="1"/>
    <col min="3075" max="3318" width="9.140625" style="6"/>
    <col min="3319" max="3319" width="3" style="6" customWidth="1"/>
    <col min="3320" max="3320" width="28.85546875" style="6" customWidth="1"/>
    <col min="3321" max="3321" width="14" style="6" customWidth="1"/>
    <col min="3322" max="3322" width="24.42578125" style="6" customWidth="1"/>
    <col min="3323" max="3324" width="11" style="6" customWidth="1"/>
    <col min="3325" max="3325" width="13.85546875" style="6" customWidth="1"/>
    <col min="3326" max="3330" width="0" style="6" hidden="1" customWidth="1"/>
    <col min="3331" max="3574" width="9.140625" style="6"/>
    <col min="3575" max="3575" width="3" style="6" customWidth="1"/>
    <col min="3576" max="3576" width="28.85546875" style="6" customWidth="1"/>
    <col min="3577" max="3577" width="14" style="6" customWidth="1"/>
    <col min="3578" max="3578" width="24.42578125" style="6" customWidth="1"/>
    <col min="3579" max="3580" width="11" style="6" customWidth="1"/>
    <col min="3581" max="3581" width="13.85546875" style="6" customWidth="1"/>
    <col min="3582" max="3586" width="0" style="6" hidden="1" customWidth="1"/>
    <col min="3587" max="3830" width="9.140625" style="6"/>
    <col min="3831" max="3831" width="3" style="6" customWidth="1"/>
    <col min="3832" max="3832" width="28.85546875" style="6" customWidth="1"/>
    <col min="3833" max="3833" width="14" style="6" customWidth="1"/>
    <col min="3834" max="3834" width="24.42578125" style="6" customWidth="1"/>
    <col min="3835" max="3836" width="11" style="6" customWidth="1"/>
    <col min="3837" max="3837" width="13.85546875" style="6" customWidth="1"/>
    <col min="3838" max="3842" width="0" style="6" hidden="1" customWidth="1"/>
    <col min="3843" max="4086" width="9.140625" style="6"/>
    <col min="4087" max="4087" width="3" style="6" customWidth="1"/>
    <col min="4088" max="4088" width="28.85546875" style="6" customWidth="1"/>
    <col min="4089" max="4089" width="14" style="6" customWidth="1"/>
    <col min="4090" max="4090" width="24.42578125" style="6" customWidth="1"/>
    <col min="4091" max="4092" width="11" style="6" customWidth="1"/>
    <col min="4093" max="4093" width="13.85546875" style="6" customWidth="1"/>
    <col min="4094" max="4098" width="0" style="6" hidden="1" customWidth="1"/>
    <col min="4099" max="4342" width="9.140625" style="6"/>
    <col min="4343" max="4343" width="3" style="6" customWidth="1"/>
    <col min="4344" max="4344" width="28.85546875" style="6" customWidth="1"/>
    <col min="4345" max="4345" width="14" style="6" customWidth="1"/>
    <col min="4346" max="4346" width="24.42578125" style="6" customWidth="1"/>
    <col min="4347" max="4348" width="11" style="6" customWidth="1"/>
    <col min="4349" max="4349" width="13.85546875" style="6" customWidth="1"/>
    <col min="4350" max="4354" width="0" style="6" hidden="1" customWidth="1"/>
    <col min="4355" max="4598" width="9.140625" style="6"/>
    <col min="4599" max="4599" width="3" style="6" customWidth="1"/>
    <col min="4600" max="4600" width="28.85546875" style="6" customWidth="1"/>
    <col min="4601" max="4601" width="14" style="6" customWidth="1"/>
    <col min="4602" max="4602" width="24.42578125" style="6" customWidth="1"/>
    <col min="4603" max="4604" width="11" style="6" customWidth="1"/>
    <col min="4605" max="4605" width="13.85546875" style="6" customWidth="1"/>
    <col min="4606" max="4610" width="0" style="6" hidden="1" customWidth="1"/>
    <col min="4611" max="4854" width="9.140625" style="6"/>
    <col min="4855" max="4855" width="3" style="6" customWidth="1"/>
    <col min="4856" max="4856" width="28.85546875" style="6" customWidth="1"/>
    <col min="4857" max="4857" width="14" style="6" customWidth="1"/>
    <col min="4858" max="4858" width="24.42578125" style="6" customWidth="1"/>
    <col min="4859" max="4860" width="11" style="6" customWidth="1"/>
    <col min="4861" max="4861" width="13.85546875" style="6" customWidth="1"/>
    <col min="4862" max="4866" width="0" style="6" hidden="1" customWidth="1"/>
    <col min="4867" max="5110" width="9.140625" style="6"/>
    <col min="5111" max="5111" width="3" style="6" customWidth="1"/>
    <col min="5112" max="5112" width="28.85546875" style="6" customWidth="1"/>
    <col min="5113" max="5113" width="14" style="6" customWidth="1"/>
    <col min="5114" max="5114" width="24.42578125" style="6" customWidth="1"/>
    <col min="5115" max="5116" width="11" style="6" customWidth="1"/>
    <col min="5117" max="5117" width="13.85546875" style="6" customWidth="1"/>
    <col min="5118" max="5122" width="0" style="6" hidden="1" customWidth="1"/>
    <col min="5123" max="5366" width="9.140625" style="6"/>
    <col min="5367" max="5367" width="3" style="6" customWidth="1"/>
    <col min="5368" max="5368" width="28.85546875" style="6" customWidth="1"/>
    <col min="5369" max="5369" width="14" style="6" customWidth="1"/>
    <col min="5370" max="5370" width="24.42578125" style="6" customWidth="1"/>
    <col min="5371" max="5372" width="11" style="6" customWidth="1"/>
    <col min="5373" max="5373" width="13.85546875" style="6" customWidth="1"/>
    <col min="5374" max="5378" width="0" style="6" hidden="1" customWidth="1"/>
    <col min="5379" max="5622" width="9.140625" style="6"/>
    <col min="5623" max="5623" width="3" style="6" customWidth="1"/>
    <col min="5624" max="5624" width="28.85546875" style="6" customWidth="1"/>
    <col min="5625" max="5625" width="14" style="6" customWidth="1"/>
    <col min="5626" max="5626" width="24.42578125" style="6" customWidth="1"/>
    <col min="5627" max="5628" width="11" style="6" customWidth="1"/>
    <col min="5629" max="5629" width="13.85546875" style="6" customWidth="1"/>
    <col min="5630" max="5634" width="0" style="6" hidden="1" customWidth="1"/>
    <col min="5635" max="5878" width="9.140625" style="6"/>
    <col min="5879" max="5879" width="3" style="6" customWidth="1"/>
    <col min="5880" max="5880" width="28.85546875" style="6" customWidth="1"/>
    <col min="5881" max="5881" width="14" style="6" customWidth="1"/>
    <col min="5882" max="5882" width="24.42578125" style="6" customWidth="1"/>
    <col min="5883" max="5884" width="11" style="6" customWidth="1"/>
    <col min="5885" max="5885" width="13.85546875" style="6" customWidth="1"/>
    <col min="5886" max="5890" width="0" style="6" hidden="1" customWidth="1"/>
    <col min="5891" max="6134" width="9.140625" style="6"/>
    <col min="6135" max="6135" width="3" style="6" customWidth="1"/>
    <col min="6136" max="6136" width="28.85546875" style="6" customWidth="1"/>
    <col min="6137" max="6137" width="14" style="6" customWidth="1"/>
    <col min="6138" max="6138" width="24.42578125" style="6" customWidth="1"/>
    <col min="6139" max="6140" width="11" style="6" customWidth="1"/>
    <col min="6141" max="6141" width="13.85546875" style="6" customWidth="1"/>
    <col min="6142" max="6146" width="0" style="6" hidden="1" customWidth="1"/>
    <col min="6147" max="6390" width="9.140625" style="6"/>
    <col min="6391" max="6391" width="3" style="6" customWidth="1"/>
    <col min="6392" max="6392" width="28.85546875" style="6" customWidth="1"/>
    <col min="6393" max="6393" width="14" style="6" customWidth="1"/>
    <col min="6394" max="6394" width="24.42578125" style="6" customWidth="1"/>
    <col min="6395" max="6396" width="11" style="6" customWidth="1"/>
    <col min="6397" max="6397" width="13.85546875" style="6" customWidth="1"/>
    <col min="6398" max="6402" width="0" style="6" hidden="1" customWidth="1"/>
    <col min="6403" max="6646" width="9.140625" style="6"/>
    <col min="6647" max="6647" width="3" style="6" customWidth="1"/>
    <col min="6648" max="6648" width="28.85546875" style="6" customWidth="1"/>
    <col min="6649" max="6649" width="14" style="6" customWidth="1"/>
    <col min="6650" max="6650" width="24.42578125" style="6" customWidth="1"/>
    <col min="6651" max="6652" width="11" style="6" customWidth="1"/>
    <col min="6653" max="6653" width="13.85546875" style="6" customWidth="1"/>
    <col min="6654" max="6658" width="0" style="6" hidden="1" customWidth="1"/>
    <col min="6659" max="6902" width="9.140625" style="6"/>
    <col min="6903" max="6903" width="3" style="6" customWidth="1"/>
    <col min="6904" max="6904" width="28.85546875" style="6" customWidth="1"/>
    <col min="6905" max="6905" width="14" style="6" customWidth="1"/>
    <col min="6906" max="6906" width="24.42578125" style="6" customWidth="1"/>
    <col min="6907" max="6908" width="11" style="6" customWidth="1"/>
    <col min="6909" max="6909" width="13.85546875" style="6" customWidth="1"/>
    <col min="6910" max="6914" width="0" style="6" hidden="1" customWidth="1"/>
    <col min="6915" max="7158" width="9.140625" style="6"/>
    <col min="7159" max="7159" width="3" style="6" customWidth="1"/>
    <col min="7160" max="7160" width="28.85546875" style="6" customWidth="1"/>
    <col min="7161" max="7161" width="14" style="6" customWidth="1"/>
    <col min="7162" max="7162" width="24.42578125" style="6" customWidth="1"/>
    <col min="7163" max="7164" width="11" style="6" customWidth="1"/>
    <col min="7165" max="7165" width="13.85546875" style="6" customWidth="1"/>
    <col min="7166" max="7170" width="0" style="6" hidden="1" customWidth="1"/>
    <col min="7171" max="7414" width="9.140625" style="6"/>
    <col min="7415" max="7415" width="3" style="6" customWidth="1"/>
    <col min="7416" max="7416" width="28.85546875" style="6" customWidth="1"/>
    <col min="7417" max="7417" width="14" style="6" customWidth="1"/>
    <col min="7418" max="7418" width="24.42578125" style="6" customWidth="1"/>
    <col min="7419" max="7420" width="11" style="6" customWidth="1"/>
    <col min="7421" max="7421" width="13.85546875" style="6" customWidth="1"/>
    <col min="7422" max="7426" width="0" style="6" hidden="1" customWidth="1"/>
    <col min="7427" max="7670" width="9.140625" style="6"/>
    <col min="7671" max="7671" width="3" style="6" customWidth="1"/>
    <col min="7672" max="7672" width="28.85546875" style="6" customWidth="1"/>
    <col min="7673" max="7673" width="14" style="6" customWidth="1"/>
    <col min="7674" max="7674" width="24.42578125" style="6" customWidth="1"/>
    <col min="7675" max="7676" width="11" style="6" customWidth="1"/>
    <col min="7677" max="7677" width="13.85546875" style="6" customWidth="1"/>
    <col min="7678" max="7682" width="0" style="6" hidden="1" customWidth="1"/>
    <col min="7683" max="7926" width="9.140625" style="6"/>
    <col min="7927" max="7927" width="3" style="6" customWidth="1"/>
    <col min="7928" max="7928" width="28.85546875" style="6" customWidth="1"/>
    <col min="7929" max="7929" width="14" style="6" customWidth="1"/>
    <col min="7930" max="7930" width="24.42578125" style="6" customWidth="1"/>
    <col min="7931" max="7932" width="11" style="6" customWidth="1"/>
    <col min="7933" max="7933" width="13.85546875" style="6" customWidth="1"/>
    <col min="7934" max="7938" width="0" style="6" hidden="1" customWidth="1"/>
    <col min="7939" max="8182" width="9.140625" style="6"/>
    <col min="8183" max="8183" width="3" style="6" customWidth="1"/>
    <col min="8184" max="8184" width="28.85546875" style="6" customWidth="1"/>
    <col min="8185" max="8185" width="14" style="6" customWidth="1"/>
    <col min="8186" max="8186" width="24.42578125" style="6" customWidth="1"/>
    <col min="8187" max="8188" width="11" style="6" customWidth="1"/>
    <col min="8189" max="8189" width="13.85546875" style="6" customWidth="1"/>
    <col min="8190" max="8194" width="0" style="6" hidden="1" customWidth="1"/>
    <col min="8195" max="8438" width="9.140625" style="6"/>
    <col min="8439" max="8439" width="3" style="6" customWidth="1"/>
    <col min="8440" max="8440" width="28.85546875" style="6" customWidth="1"/>
    <col min="8441" max="8441" width="14" style="6" customWidth="1"/>
    <col min="8442" max="8442" width="24.42578125" style="6" customWidth="1"/>
    <col min="8443" max="8444" width="11" style="6" customWidth="1"/>
    <col min="8445" max="8445" width="13.85546875" style="6" customWidth="1"/>
    <col min="8446" max="8450" width="0" style="6" hidden="1" customWidth="1"/>
    <col min="8451" max="8694" width="9.140625" style="6"/>
    <col min="8695" max="8695" width="3" style="6" customWidth="1"/>
    <col min="8696" max="8696" width="28.85546875" style="6" customWidth="1"/>
    <col min="8697" max="8697" width="14" style="6" customWidth="1"/>
    <col min="8698" max="8698" width="24.42578125" style="6" customWidth="1"/>
    <col min="8699" max="8700" width="11" style="6" customWidth="1"/>
    <col min="8701" max="8701" width="13.85546875" style="6" customWidth="1"/>
    <col min="8702" max="8706" width="0" style="6" hidden="1" customWidth="1"/>
    <col min="8707" max="8950" width="9.140625" style="6"/>
    <col min="8951" max="8951" width="3" style="6" customWidth="1"/>
    <col min="8952" max="8952" width="28.85546875" style="6" customWidth="1"/>
    <col min="8953" max="8953" width="14" style="6" customWidth="1"/>
    <col min="8954" max="8954" width="24.42578125" style="6" customWidth="1"/>
    <col min="8955" max="8956" width="11" style="6" customWidth="1"/>
    <col min="8957" max="8957" width="13.85546875" style="6" customWidth="1"/>
    <col min="8958" max="8962" width="0" style="6" hidden="1" customWidth="1"/>
    <col min="8963" max="9206" width="9.140625" style="6"/>
    <col min="9207" max="9207" width="3" style="6" customWidth="1"/>
    <col min="9208" max="9208" width="28.85546875" style="6" customWidth="1"/>
    <col min="9209" max="9209" width="14" style="6" customWidth="1"/>
    <col min="9210" max="9210" width="24.42578125" style="6" customWidth="1"/>
    <col min="9211" max="9212" width="11" style="6" customWidth="1"/>
    <col min="9213" max="9213" width="13.85546875" style="6" customWidth="1"/>
    <col min="9214" max="9218" width="0" style="6" hidden="1" customWidth="1"/>
    <col min="9219" max="9462" width="9.140625" style="6"/>
    <col min="9463" max="9463" width="3" style="6" customWidth="1"/>
    <col min="9464" max="9464" width="28.85546875" style="6" customWidth="1"/>
    <col min="9465" max="9465" width="14" style="6" customWidth="1"/>
    <col min="9466" max="9466" width="24.42578125" style="6" customWidth="1"/>
    <col min="9467" max="9468" width="11" style="6" customWidth="1"/>
    <col min="9469" max="9469" width="13.85546875" style="6" customWidth="1"/>
    <col min="9470" max="9474" width="0" style="6" hidden="1" customWidth="1"/>
    <col min="9475" max="9718" width="9.140625" style="6"/>
    <col min="9719" max="9719" width="3" style="6" customWidth="1"/>
    <col min="9720" max="9720" width="28.85546875" style="6" customWidth="1"/>
    <col min="9721" max="9721" width="14" style="6" customWidth="1"/>
    <col min="9722" max="9722" width="24.42578125" style="6" customWidth="1"/>
    <col min="9723" max="9724" width="11" style="6" customWidth="1"/>
    <col min="9725" max="9725" width="13.85546875" style="6" customWidth="1"/>
    <col min="9726" max="9730" width="0" style="6" hidden="1" customWidth="1"/>
    <col min="9731" max="9974" width="9.140625" style="6"/>
    <col min="9975" max="9975" width="3" style="6" customWidth="1"/>
    <col min="9976" max="9976" width="28.85546875" style="6" customWidth="1"/>
    <col min="9977" max="9977" width="14" style="6" customWidth="1"/>
    <col min="9978" max="9978" width="24.42578125" style="6" customWidth="1"/>
    <col min="9979" max="9980" width="11" style="6" customWidth="1"/>
    <col min="9981" max="9981" width="13.85546875" style="6" customWidth="1"/>
    <col min="9982" max="9986" width="0" style="6" hidden="1" customWidth="1"/>
    <col min="9987" max="10230" width="9.140625" style="6"/>
    <col min="10231" max="10231" width="3" style="6" customWidth="1"/>
    <col min="10232" max="10232" width="28.85546875" style="6" customWidth="1"/>
    <col min="10233" max="10233" width="14" style="6" customWidth="1"/>
    <col min="10234" max="10234" width="24.42578125" style="6" customWidth="1"/>
    <col min="10235" max="10236" width="11" style="6" customWidth="1"/>
    <col min="10237" max="10237" width="13.85546875" style="6" customWidth="1"/>
    <col min="10238" max="10242" width="0" style="6" hidden="1" customWidth="1"/>
    <col min="10243" max="10486" width="9.140625" style="6"/>
    <col min="10487" max="10487" width="3" style="6" customWidth="1"/>
    <col min="10488" max="10488" width="28.85546875" style="6" customWidth="1"/>
    <col min="10489" max="10489" width="14" style="6" customWidth="1"/>
    <col min="10490" max="10490" width="24.42578125" style="6" customWidth="1"/>
    <col min="10491" max="10492" width="11" style="6" customWidth="1"/>
    <col min="10493" max="10493" width="13.85546875" style="6" customWidth="1"/>
    <col min="10494" max="10498" width="0" style="6" hidden="1" customWidth="1"/>
    <col min="10499" max="10742" width="9.140625" style="6"/>
    <col min="10743" max="10743" width="3" style="6" customWidth="1"/>
    <col min="10744" max="10744" width="28.85546875" style="6" customWidth="1"/>
    <col min="10745" max="10745" width="14" style="6" customWidth="1"/>
    <col min="10746" max="10746" width="24.42578125" style="6" customWidth="1"/>
    <col min="10747" max="10748" width="11" style="6" customWidth="1"/>
    <col min="10749" max="10749" width="13.85546875" style="6" customWidth="1"/>
    <col min="10750" max="10754" width="0" style="6" hidden="1" customWidth="1"/>
    <col min="10755" max="10998" width="9.140625" style="6"/>
    <col min="10999" max="10999" width="3" style="6" customWidth="1"/>
    <col min="11000" max="11000" width="28.85546875" style="6" customWidth="1"/>
    <col min="11001" max="11001" width="14" style="6" customWidth="1"/>
    <col min="11002" max="11002" width="24.42578125" style="6" customWidth="1"/>
    <col min="11003" max="11004" width="11" style="6" customWidth="1"/>
    <col min="11005" max="11005" width="13.85546875" style="6" customWidth="1"/>
    <col min="11006" max="11010" width="0" style="6" hidden="1" customWidth="1"/>
    <col min="11011" max="11254" width="9.140625" style="6"/>
    <col min="11255" max="11255" width="3" style="6" customWidth="1"/>
    <col min="11256" max="11256" width="28.85546875" style="6" customWidth="1"/>
    <col min="11257" max="11257" width="14" style="6" customWidth="1"/>
    <col min="11258" max="11258" width="24.42578125" style="6" customWidth="1"/>
    <col min="11259" max="11260" width="11" style="6" customWidth="1"/>
    <col min="11261" max="11261" width="13.85546875" style="6" customWidth="1"/>
    <col min="11262" max="11266" width="0" style="6" hidden="1" customWidth="1"/>
    <col min="11267" max="11510" width="9.140625" style="6"/>
    <col min="11511" max="11511" width="3" style="6" customWidth="1"/>
    <col min="11512" max="11512" width="28.85546875" style="6" customWidth="1"/>
    <col min="11513" max="11513" width="14" style="6" customWidth="1"/>
    <col min="11514" max="11514" width="24.42578125" style="6" customWidth="1"/>
    <col min="11515" max="11516" width="11" style="6" customWidth="1"/>
    <col min="11517" max="11517" width="13.85546875" style="6" customWidth="1"/>
    <col min="11518" max="11522" width="0" style="6" hidden="1" customWidth="1"/>
    <col min="11523" max="11766" width="9.140625" style="6"/>
    <col min="11767" max="11767" width="3" style="6" customWidth="1"/>
    <col min="11768" max="11768" width="28.85546875" style="6" customWidth="1"/>
    <col min="11769" max="11769" width="14" style="6" customWidth="1"/>
    <col min="11770" max="11770" width="24.42578125" style="6" customWidth="1"/>
    <col min="11771" max="11772" width="11" style="6" customWidth="1"/>
    <col min="11773" max="11773" width="13.85546875" style="6" customWidth="1"/>
    <col min="11774" max="11778" width="0" style="6" hidden="1" customWidth="1"/>
    <col min="11779" max="12022" width="9.140625" style="6"/>
    <col min="12023" max="12023" width="3" style="6" customWidth="1"/>
    <col min="12024" max="12024" width="28.85546875" style="6" customWidth="1"/>
    <col min="12025" max="12025" width="14" style="6" customWidth="1"/>
    <col min="12026" max="12026" width="24.42578125" style="6" customWidth="1"/>
    <col min="12027" max="12028" width="11" style="6" customWidth="1"/>
    <col min="12029" max="12029" width="13.85546875" style="6" customWidth="1"/>
    <col min="12030" max="12034" width="0" style="6" hidden="1" customWidth="1"/>
    <col min="12035" max="12278" width="9.140625" style="6"/>
    <col min="12279" max="12279" width="3" style="6" customWidth="1"/>
    <col min="12280" max="12280" width="28.85546875" style="6" customWidth="1"/>
    <col min="12281" max="12281" width="14" style="6" customWidth="1"/>
    <col min="12282" max="12282" width="24.42578125" style="6" customWidth="1"/>
    <col min="12283" max="12284" width="11" style="6" customWidth="1"/>
    <col min="12285" max="12285" width="13.85546875" style="6" customWidth="1"/>
    <col min="12286" max="12290" width="0" style="6" hidden="1" customWidth="1"/>
    <col min="12291" max="12534" width="9.140625" style="6"/>
    <col min="12535" max="12535" width="3" style="6" customWidth="1"/>
    <col min="12536" max="12536" width="28.85546875" style="6" customWidth="1"/>
    <col min="12537" max="12537" width="14" style="6" customWidth="1"/>
    <col min="12538" max="12538" width="24.42578125" style="6" customWidth="1"/>
    <col min="12539" max="12540" width="11" style="6" customWidth="1"/>
    <col min="12541" max="12541" width="13.85546875" style="6" customWidth="1"/>
    <col min="12542" max="12546" width="0" style="6" hidden="1" customWidth="1"/>
    <col min="12547" max="12790" width="9.140625" style="6"/>
    <col min="12791" max="12791" width="3" style="6" customWidth="1"/>
    <col min="12792" max="12792" width="28.85546875" style="6" customWidth="1"/>
    <col min="12793" max="12793" width="14" style="6" customWidth="1"/>
    <col min="12794" max="12794" width="24.42578125" style="6" customWidth="1"/>
    <col min="12795" max="12796" width="11" style="6" customWidth="1"/>
    <col min="12797" max="12797" width="13.85546875" style="6" customWidth="1"/>
    <col min="12798" max="12802" width="0" style="6" hidden="1" customWidth="1"/>
    <col min="12803" max="13046" width="9.140625" style="6"/>
    <col min="13047" max="13047" width="3" style="6" customWidth="1"/>
    <col min="13048" max="13048" width="28.85546875" style="6" customWidth="1"/>
    <col min="13049" max="13049" width="14" style="6" customWidth="1"/>
    <col min="13050" max="13050" width="24.42578125" style="6" customWidth="1"/>
    <col min="13051" max="13052" width="11" style="6" customWidth="1"/>
    <col min="13053" max="13053" width="13.85546875" style="6" customWidth="1"/>
    <col min="13054" max="13058" width="0" style="6" hidden="1" customWidth="1"/>
    <col min="13059" max="13302" width="9.140625" style="6"/>
    <col min="13303" max="13303" width="3" style="6" customWidth="1"/>
    <col min="13304" max="13304" width="28.85546875" style="6" customWidth="1"/>
    <col min="13305" max="13305" width="14" style="6" customWidth="1"/>
    <col min="13306" max="13306" width="24.42578125" style="6" customWidth="1"/>
    <col min="13307" max="13308" width="11" style="6" customWidth="1"/>
    <col min="13309" max="13309" width="13.85546875" style="6" customWidth="1"/>
    <col min="13310" max="13314" width="0" style="6" hidden="1" customWidth="1"/>
    <col min="13315" max="13558" width="9.140625" style="6"/>
    <col min="13559" max="13559" width="3" style="6" customWidth="1"/>
    <col min="13560" max="13560" width="28.85546875" style="6" customWidth="1"/>
    <col min="13561" max="13561" width="14" style="6" customWidth="1"/>
    <col min="13562" max="13562" width="24.42578125" style="6" customWidth="1"/>
    <col min="13563" max="13564" width="11" style="6" customWidth="1"/>
    <col min="13565" max="13565" width="13.85546875" style="6" customWidth="1"/>
    <col min="13566" max="13570" width="0" style="6" hidden="1" customWidth="1"/>
    <col min="13571" max="13814" width="9.140625" style="6"/>
    <col min="13815" max="13815" width="3" style="6" customWidth="1"/>
    <col min="13816" max="13816" width="28.85546875" style="6" customWidth="1"/>
    <col min="13817" max="13817" width="14" style="6" customWidth="1"/>
    <col min="13818" max="13818" width="24.42578125" style="6" customWidth="1"/>
    <col min="13819" max="13820" width="11" style="6" customWidth="1"/>
    <col min="13821" max="13821" width="13.85546875" style="6" customWidth="1"/>
    <col min="13822" max="13826" width="0" style="6" hidden="1" customWidth="1"/>
    <col min="13827" max="14070" width="9.140625" style="6"/>
    <col min="14071" max="14071" width="3" style="6" customWidth="1"/>
    <col min="14072" max="14072" width="28.85546875" style="6" customWidth="1"/>
    <col min="14073" max="14073" width="14" style="6" customWidth="1"/>
    <col min="14074" max="14074" width="24.42578125" style="6" customWidth="1"/>
    <col min="14075" max="14076" width="11" style="6" customWidth="1"/>
    <col min="14077" max="14077" width="13.85546875" style="6" customWidth="1"/>
    <col min="14078" max="14082" width="0" style="6" hidden="1" customWidth="1"/>
    <col min="14083" max="14326" width="9.140625" style="6"/>
    <col min="14327" max="14327" width="3" style="6" customWidth="1"/>
    <col min="14328" max="14328" width="28.85546875" style="6" customWidth="1"/>
    <col min="14329" max="14329" width="14" style="6" customWidth="1"/>
    <col min="14330" max="14330" width="24.42578125" style="6" customWidth="1"/>
    <col min="14331" max="14332" width="11" style="6" customWidth="1"/>
    <col min="14333" max="14333" width="13.85546875" style="6" customWidth="1"/>
    <col min="14334" max="14338" width="0" style="6" hidden="1" customWidth="1"/>
    <col min="14339" max="14582" width="9.140625" style="6"/>
    <col min="14583" max="14583" width="3" style="6" customWidth="1"/>
    <col min="14584" max="14584" width="28.85546875" style="6" customWidth="1"/>
    <col min="14585" max="14585" width="14" style="6" customWidth="1"/>
    <col min="14586" max="14586" width="24.42578125" style="6" customWidth="1"/>
    <col min="14587" max="14588" width="11" style="6" customWidth="1"/>
    <col min="14589" max="14589" width="13.85546875" style="6" customWidth="1"/>
    <col min="14590" max="14594" width="0" style="6" hidden="1" customWidth="1"/>
    <col min="14595" max="14838" width="9.140625" style="6"/>
    <col min="14839" max="14839" width="3" style="6" customWidth="1"/>
    <col min="14840" max="14840" width="28.85546875" style="6" customWidth="1"/>
    <col min="14841" max="14841" width="14" style="6" customWidth="1"/>
    <col min="14842" max="14842" width="24.42578125" style="6" customWidth="1"/>
    <col min="14843" max="14844" width="11" style="6" customWidth="1"/>
    <col min="14845" max="14845" width="13.85546875" style="6" customWidth="1"/>
    <col min="14846" max="14850" width="0" style="6" hidden="1" customWidth="1"/>
    <col min="14851" max="15094" width="9.140625" style="6"/>
    <col min="15095" max="15095" width="3" style="6" customWidth="1"/>
    <col min="15096" max="15096" width="28.85546875" style="6" customWidth="1"/>
    <col min="15097" max="15097" width="14" style="6" customWidth="1"/>
    <col min="15098" max="15098" width="24.42578125" style="6" customWidth="1"/>
    <col min="15099" max="15100" width="11" style="6" customWidth="1"/>
    <col min="15101" max="15101" width="13.85546875" style="6" customWidth="1"/>
    <col min="15102" max="15106" width="0" style="6" hidden="1" customWidth="1"/>
    <col min="15107" max="15350" width="9.140625" style="6"/>
    <col min="15351" max="15351" width="3" style="6" customWidth="1"/>
    <col min="15352" max="15352" width="28.85546875" style="6" customWidth="1"/>
    <col min="15353" max="15353" width="14" style="6" customWidth="1"/>
    <col min="15354" max="15354" width="24.42578125" style="6" customWidth="1"/>
    <col min="15355" max="15356" width="11" style="6" customWidth="1"/>
    <col min="15357" max="15357" width="13.85546875" style="6" customWidth="1"/>
    <col min="15358" max="15362" width="0" style="6" hidden="1" customWidth="1"/>
    <col min="15363" max="15606" width="9.140625" style="6"/>
    <col min="15607" max="15607" width="3" style="6" customWidth="1"/>
    <col min="15608" max="15608" width="28.85546875" style="6" customWidth="1"/>
    <col min="15609" max="15609" width="14" style="6" customWidth="1"/>
    <col min="15610" max="15610" width="24.42578125" style="6" customWidth="1"/>
    <col min="15611" max="15612" width="11" style="6" customWidth="1"/>
    <col min="15613" max="15613" width="13.85546875" style="6" customWidth="1"/>
    <col min="15614" max="15618" width="0" style="6" hidden="1" customWidth="1"/>
    <col min="15619" max="15862" width="9.140625" style="6"/>
    <col min="15863" max="15863" width="3" style="6" customWidth="1"/>
    <col min="15864" max="15864" width="28.85546875" style="6" customWidth="1"/>
    <col min="15865" max="15865" width="14" style="6" customWidth="1"/>
    <col min="15866" max="15866" width="24.42578125" style="6" customWidth="1"/>
    <col min="15867" max="15868" width="11" style="6" customWidth="1"/>
    <col min="15869" max="15869" width="13.85546875" style="6" customWidth="1"/>
    <col min="15870" max="15874" width="0" style="6" hidden="1" customWidth="1"/>
    <col min="15875" max="16118" width="9.140625" style="6"/>
    <col min="16119" max="16119" width="3" style="6" customWidth="1"/>
    <col min="16120" max="16120" width="28.85546875" style="6" customWidth="1"/>
    <col min="16121" max="16121" width="14" style="6" customWidth="1"/>
    <col min="16122" max="16122" width="24.42578125" style="6" customWidth="1"/>
    <col min="16123" max="16124" width="11" style="6" customWidth="1"/>
    <col min="16125" max="16125" width="13.85546875" style="6" customWidth="1"/>
    <col min="16126" max="16130" width="0" style="6" hidden="1" customWidth="1"/>
    <col min="16131" max="16384" width="9.140625" style="6"/>
  </cols>
  <sheetData>
    <row r="2" spans="2:8" ht="24" customHeight="1" thickBot="1" x14ac:dyDescent="0.4">
      <c r="B2" s="310" t="s">
        <v>126</v>
      </c>
      <c r="C2" s="311"/>
      <c r="D2" s="312"/>
      <c r="E2" s="312"/>
      <c r="F2" s="312"/>
      <c r="G2" s="312"/>
      <c r="H2" s="313"/>
    </row>
    <row r="3" spans="2:8" ht="56.45" customHeight="1" x14ac:dyDescent="0.2">
      <c r="B3" s="291" t="s">
        <v>317</v>
      </c>
      <c r="C3" s="291"/>
      <c r="D3" s="314" t="s">
        <v>361</v>
      </c>
      <c r="E3" s="315"/>
      <c r="F3" s="315"/>
      <c r="G3" s="315"/>
      <c r="H3" s="316"/>
    </row>
    <row r="4" spans="2:8" ht="15.6" customHeight="1" x14ac:dyDescent="0.2">
      <c r="B4" s="317" t="s">
        <v>5</v>
      </c>
      <c r="C4" s="317"/>
      <c r="D4" s="318" t="s">
        <v>182</v>
      </c>
      <c r="E4" s="319"/>
      <c r="F4" s="319"/>
      <c r="G4" s="319"/>
      <c r="H4" s="320"/>
    </row>
    <row r="5" spans="2:8" ht="13.35" customHeight="1" x14ac:dyDescent="0.2">
      <c r="B5" s="291" t="s">
        <v>3</v>
      </c>
      <c r="C5" s="291"/>
      <c r="D5" s="318" t="s">
        <v>372</v>
      </c>
      <c r="E5" s="319"/>
      <c r="F5" s="319"/>
      <c r="G5" s="319"/>
      <c r="H5" s="320"/>
    </row>
    <row r="6" spans="2:8" ht="13.35" customHeight="1" x14ac:dyDescent="0.2">
      <c r="B6" s="291" t="s">
        <v>320</v>
      </c>
      <c r="C6" s="291"/>
      <c r="D6" s="292">
        <v>44395</v>
      </c>
      <c r="E6" s="293"/>
      <c r="F6" s="293"/>
      <c r="G6" s="293"/>
      <c r="H6" s="294"/>
    </row>
    <row r="7" spans="2:8" x14ac:dyDescent="0.2">
      <c r="B7" s="295" t="s">
        <v>136</v>
      </c>
      <c r="C7" s="296"/>
      <c r="D7" s="301"/>
      <c r="E7" s="302"/>
      <c r="F7" s="302"/>
      <c r="G7" s="302"/>
      <c r="H7" s="303"/>
    </row>
    <row r="8" spans="2:8" ht="12.75" customHeight="1" x14ac:dyDescent="0.2">
      <c r="B8" s="297"/>
      <c r="C8" s="298"/>
      <c r="D8" s="304"/>
      <c r="E8" s="305"/>
      <c r="F8" s="305"/>
      <c r="G8" s="305"/>
      <c r="H8" s="306"/>
    </row>
    <row r="9" spans="2:8" x14ac:dyDescent="0.2">
      <c r="B9" s="297"/>
      <c r="C9" s="298"/>
      <c r="D9" s="304"/>
      <c r="E9" s="305"/>
      <c r="F9" s="305"/>
      <c r="G9" s="305"/>
      <c r="H9" s="306"/>
    </row>
    <row r="10" spans="2:8" ht="12.75" customHeight="1" x14ac:dyDescent="0.2">
      <c r="B10" s="297"/>
      <c r="C10" s="298"/>
      <c r="D10" s="304"/>
      <c r="E10" s="305"/>
      <c r="F10" s="305"/>
      <c r="G10" s="305"/>
      <c r="H10" s="306"/>
    </row>
    <row r="11" spans="2:8" ht="12.6" customHeight="1" x14ac:dyDescent="0.2">
      <c r="B11" s="299"/>
      <c r="C11" s="300"/>
      <c r="D11" s="307"/>
      <c r="E11" s="308"/>
      <c r="F11" s="308"/>
      <c r="G11" s="308"/>
      <c r="H11" s="309"/>
    </row>
  </sheetData>
  <sheetProtection sheet="1" objects="1" scenarios="1" formatCells="0" formatColumns="0" formatRows="0" sort="0" autoFilter="0"/>
  <mergeCells count="11">
    <mergeCell ref="B6:C6"/>
    <mergeCell ref="D6:H6"/>
    <mergeCell ref="B7:C11"/>
    <mergeCell ref="D7:H11"/>
    <mergeCell ref="B2:H2"/>
    <mergeCell ref="B3:C3"/>
    <mergeCell ref="D3:H3"/>
    <mergeCell ref="B4:C4"/>
    <mergeCell ref="D4:H4"/>
    <mergeCell ref="B5:C5"/>
    <mergeCell ref="D5:H5"/>
  </mergeCells>
  <dataValidations disablePrompts="1" count="1">
    <dataValidation type="list" showInputMessage="1" showErrorMessage="1" sqref="WVB982928:WVC982942 E65424:F65438 IP65424:IQ65438 SL65424:SM65438 ACH65424:ACI65438 AMD65424:AME65438 AVZ65424:AWA65438 BFV65424:BFW65438 BPR65424:BPS65438 BZN65424:BZO65438 CJJ65424:CJK65438 CTF65424:CTG65438 DDB65424:DDC65438 DMX65424:DMY65438 DWT65424:DWU65438 EGP65424:EGQ65438 EQL65424:EQM65438 FAH65424:FAI65438 FKD65424:FKE65438 FTZ65424:FUA65438 GDV65424:GDW65438 GNR65424:GNS65438 GXN65424:GXO65438 HHJ65424:HHK65438 HRF65424:HRG65438 IBB65424:IBC65438 IKX65424:IKY65438 IUT65424:IUU65438 JEP65424:JEQ65438 JOL65424:JOM65438 JYH65424:JYI65438 KID65424:KIE65438 KRZ65424:KSA65438 LBV65424:LBW65438 LLR65424:LLS65438 LVN65424:LVO65438 MFJ65424:MFK65438 MPF65424:MPG65438 MZB65424:MZC65438 NIX65424:NIY65438 NST65424:NSU65438 OCP65424:OCQ65438 OML65424:OMM65438 OWH65424:OWI65438 PGD65424:PGE65438 PPZ65424:PQA65438 PZV65424:PZW65438 QJR65424:QJS65438 QTN65424:QTO65438 RDJ65424:RDK65438 RNF65424:RNG65438 RXB65424:RXC65438 SGX65424:SGY65438 SQT65424:SQU65438 TAP65424:TAQ65438 TKL65424:TKM65438 TUH65424:TUI65438 UED65424:UEE65438 UNZ65424:UOA65438 UXV65424:UXW65438 VHR65424:VHS65438 VRN65424:VRO65438 WBJ65424:WBK65438 WLF65424:WLG65438 WVB65424:WVC65438 E130960:F130974 IP130960:IQ130974 SL130960:SM130974 ACH130960:ACI130974 AMD130960:AME130974 AVZ130960:AWA130974 BFV130960:BFW130974 BPR130960:BPS130974 BZN130960:BZO130974 CJJ130960:CJK130974 CTF130960:CTG130974 DDB130960:DDC130974 DMX130960:DMY130974 DWT130960:DWU130974 EGP130960:EGQ130974 EQL130960:EQM130974 FAH130960:FAI130974 FKD130960:FKE130974 FTZ130960:FUA130974 GDV130960:GDW130974 GNR130960:GNS130974 GXN130960:GXO130974 HHJ130960:HHK130974 HRF130960:HRG130974 IBB130960:IBC130974 IKX130960:IKY130974 IUT130960:IUU130974 JEP130960:JEQ130974 JOL130960:JOM130974 JYH130960:JYI130974 KID130960:KIE130974 KRZ130960:KSA130974 LBV130960:LBW130974 LLR130960:LLS130974 LVN130960:LVO130974 MFJ130960:MFK130974 MPF130960:MPG130974 MZB130960:MZC130974 NIX130960:NIY130974 NST130960:NSU130974 OCP130960:OCQ130974 OML130960:OMM130974 OWH130960:OWI130974 PGD130960:PGE130974 PPZ130960:PQA130974 PZV130960:PZW130974 QJR130960:QJS130974 QTN130960:QTO130974 RDJ130960:RDK130974 RNF130960:RNG130974 RXB130960:RXC130974 SGX130960:SGY130974 SQT130960:SQU130974 TAP130960:TAQ130974 TKL130960:TKM130974 TUH130960:TUI130974 UED130960:UEE130974 UNZ130960:UOA130974 UXV130960:UXW130974 VHR130960:VHS130974 VRN130960:VRO130974 WBJ130960:WBK130974 WLF130960:WLG130974 WVB130960:WVC130974 E196496:F196510 IP196496:IQ196510 SL196496:SM196510 ACH196496:ACI196510 AMD196496:AME196510 AVZ196496:AWA196510 BFV196496:BFW196510 BPR196496:BPS196510 BZN196496:BZO196510 CJJ196496:CJK196510 CTF196496:CTG196510 DDB196496:DDC196510 DMX196496:DMY196510 DWT196496:DWU196510 EGP196496:EGQ196510 EQL196496:EQM196510 FAH196496:FAI196510 FKD196496:FKE196510 FTZ196496:FUA196510 GDV196496:GDW196510 GNR196496:GNS196510 GXN196496:GXO196510 HHJ196496:HHK196510 HRF196496:HRG196510 IBB196496:IBC196510 IKX196496:IKY196510 IUT196496:IUU196510 JEP196496:JEQ196510 JOL196496:JOM196510 JYH196496:JYI196510 KID196496:KIE196510 KRZ196496:KSA196510 LBV196496:LBW196510 LLR196496:LLS196510 LVN196496:LVO196510 MFJ196496:MFK196510 MPF196496:MPG196510 MZB196496:MZC196510 NIX196496:NIY196510 NST196496:NSU196510 OCP196496:OCQ196510 OML196496:OMM196510 OWH196496:OWI196510 PGD196496:PGE196510 PPZ196496:PQA196510 PZV196496:PZW196510 QJR196496:QJS196510 QTN196496:QTO196510 RDJ196496:RDK196510 RNF196496:RNG196510 RXB196496:RXC196510 SGX196496:SGY196510 SQT196496:SQU196510 TAP196496:TAQ196510 TKL196496:TKM196510 TUH196496:TUI196510 UED196496:UEE196510 UNZ196496:UOA196510 UXV196496:UXW196510 VHR196496:VHS196510 VRN196496:VRO196510 WBJ196496:WBK196510 WLF196496:WLG196510 WVB196496:WVC196510 E262032:F262046 IP262032:IQ262046 SL262032:SM262046 ACH262032:ACI262046 AMD262032:AME262046 AVZ262032:AWA262046 BFV262032:BFW262046 BPR262032:BPS262046 BZN262032:BZO262046 CJJ262032:CJK262046 CTF262032:CTG262046 DDB262032:DDC262046 DMX262032:DMY262046 DWT262032:DWU262046 EGP262032:EGQ262046 EQL262032:EQM262046 FAH262032:FAI262046 FKD262032:FKE262046 FTZ262032:FUA262046 GDV262032:GDW262046 GNR262032:GNS262046 GXN262032:GXO262046 HHJ262032:HHK262046 HRF262032:HRG262046 IBB262032:IBC262046 IKX262032:IKY262046 IUT262032:IUU262046 JEP262032:JEQ262046 JOL262032:JOM262046 JYH262032:JYI262046 KID262032:KIE262046 KRZ262032:KSA262046 LBV262032:LBW262046 LLR262032:LLS262046 LVN262032:LVO262046 MFJ262032:MFK262046 MPF262032:MPG262046 MZB262032:MZC262046 NIX262032:NIY262046 NST262032:NSU262046 OCP262032:OCQ262046 OML262032:OMM262046 OWH262032:OWI262046 PGD262032:PGE262046 PPZ262032:PQA262046 PZV262032:PZW262046 QJR262032:QJS262046 QTN262032:QTO262046 RDJ262032:RDK262046 RNF262032:RNG262046 RXB262032:RXC262046 SGX262032:SGY262046 SQT262032:SQU262046 TAP262032:TAQ262046 TKL262032:TKM262046 TUH262032:TUI262046 UED262032:UEE262046 UNZ262032:UOA262046 UXV262032:UXW262046 VHR262032:VHS262046 VRN262032:VRO262046 WBJ262032:WBK262046 WLF262032:WLG262046 WVB262032:WVC262046 E327568:F327582 IP327568:IQ327582 SL327568:SM327582 ACH327568:ACI327582 AMD327568:AME327582 AVZ327568:AWA327582 BFV327568:BFW327582 BPR327568:BPS327582 BZN327568:BZO327582 CJJ327568:CJK327582 CTF327568:CTG327582 DDB327568:DDC327582 DMX327568:DMY327582 DWT327568:DWU327582 EGP327568:EGQ327582 EQL327568:EQM327582 FAH327568:FAI327582 FKD327568:FKE327582 FTZ327568:FUA327582 GDV327568:GDW327582 GNR327568:GNS327582 GXN327568:GXO327582 HHJ327568:HHK327582 HRF327568:HRG327582 IBB327568:IBC327582 IKX327568:IKY327582 IUT327568:IUU327582 JEP327568:JEQ327582 JOL327568:JOM327582 JYH327568:JYI327582 KID327568:KIE327582 KRZ327568:KSA327582 LBV327568:LBW327582 LLR327568:LLS327582 LVN327568:LVO327582 MFJ327568:MFK327582 MPF327568:MPG327582 MZB327568:MZC327582 NIX327568:NIY327582 NST327568:NSU327582 OCP327568:OCQ327582 OML327568:OMM327582 OWH327568:OWI327582 PGD327568:PGE327582 PPZ327568:PQA327582 PZV327568:PZW327582 QJR327568:QJS327582 QTN327568:QTO327582 RDJ327568:RDK327582 RNF327568:RNG327582 RXB327568:RXC327582 SGX327568:SGY327582 SQT327568:SQU327582 TAP327568:TAQ327582 TKL327568:TKM327582 TUH327568:TUI327582 UED327568:UEE327582 UNZ327568:UOA327582 UXV327568:UXW327582 VHR327568:VHS327582 VRN327568:VRO327582 WBJ327568:WBK327582 WLF327568:WLG327582 WVB327568:WVC327582 E393104:F393118 IP393104:IQ393118 SL393104:SM393118 ACH393104:ACI393118 AMD393104:AME393118 AVZ393104:AWA393118 BFV393104:BFW393118 BPR393104:BPS393118 BZN393104:BZO393118 CJJ393104:CJK393118 CTF393104:CTG393118 DDB393104:DDC393118 DMX393104:DMY393118 DWT393104:DWU393118 EGP393104:EGQ393118 EQL393104:EQM393118 FAH393104:FAI393118 FKD393104:FKE393118 FTZ393104:FUA393118 GDV393104:GDW393118 GNR393104:GNS393118 GXN393104:GXO393118 HHJ393104:HHK393118 HRF393104:HRG393118 IBB393104:IBC393118 IKX393104:IKY393118 IUT393104:IUU393118 JEP393104:JEQ393118 JOL393104:JOM393118 JYH393104:JYI393118 KID393104:KIE393118 KRZ393104:KSA393118 LBV393104:LBW393118 LLR393104:LLS393118 LVN393104:LVO393118 MFJ393104:MFK393118 MPF393104:MPG393118 MZB393104:MZC393118 NIX393104:NIY393118 NST393104:NSU393118 OCP393104:OCQ393118 OML393104:OMM393118 OWH393104:OWI393118 PGD393104:PGE393118 PPZ393104:PQA393118 PZV393104:PZW393118 QJR393104:QJS393118 QTN393104:QTO393118 RDJ393104:RDK393118 RNF393104:RNG393118 RXB393104:RXC393118 SGX393104:SGY393118 SQT393104:SQU393118 TAP393104:TAQ393118 TKL393104:TKM393118 TUH393104:TUI393118 UED393104:UEE393118 UNZ393104:UOA393118 UXV393104:UXW393118 VHR393104:VHS393118 VRN393104:VRO393118 WBJ393104:WBK393118 WLF393104:WLG393118 WVB393104:WVC393118 E458640:F458654 IP458640:IQ458654 SL458640:SM458654 ACH458640:ACI458654 AMD458640:AME458654 AVZ458640:AWA458654 BFV458640:BFW458654 BPR458640:BPS458654 BZN458640:BZO458654 CJJ458640:CJK458654 CTF458640:CTG458654 DDB458640:DDC458654 DMX458640:DMY458654 DWT458640:DWU458654 EGP458640:EGQ458654 EQL458640:EQM458654 FAH458640:FAI458654 FKD458640:FKE458654 FTZ458640:FUA458654 GDV458640:GDW458654 GNR458640:GNS458654 GXN458640:GXO458654 HHJ458640:HHK458654 HRF458640:HRG458654 IBB458640:IBC458654 IKX458640:IKY458654 IUT458640:IUU458654 JEP458640:JEQ458654 JOL458640:JOM458654 JYH458640:JYI458654 KID458640:KIE458654 KRZ458640:KSA458654 LBV458640:LBW458654 LLR458640:LLS458654 LVN458640:LVO458654 MFJ458640:MFK458654 MPF458640:MPG458654 MZB458640:MZC458654 NIX458640:NIY458654 NST458640:NSU458654 OCP458640:OCQ458654 OML458640:OMM458654 OWH458640:OWI458654 PGD458640:PGE458654 PPZ458640:PQA458654 PZV458640:PZW458654 QJR458640:QJS458654 QTN458640:QTO458654 RDJ458640:RDK458654 RNF458640:RNG458654 RXB458640:RXC458654 SGX458640:SGY458654 SQT458640:SQU458654 TAP458640:TAQ458654 TKL458640:TKM458654 TUH458640:TUI458654 UED458640:UEE458654 UNZ458640:UOA458654 UXV458640:UXW458654 VHR458640:VHS458654 VRN458640:VRO458654 WBJ458640:WBK458654 WLF458640:WLG458654 WVB458640:WVC458654 E524176:F524190 IP524176:IQ524190 SL524176:SM524190 ACH524176:ACI524190 AMD524176:AME524190 AVZ524176:AWA524190 BFV524176:BFW524190 BPR524176:BPS524190 BZN524176:BZO524190 CJJ524176:CJK524190 CTF524176:CTG524190 DDB524176:DDC524190 DMX524176:DMY524190 DWT524176:DWU524190 EGP524176:EGQ524190 EQL524176:EQM524190 FAH524176:FAI524190 FKD524176:FKE524190 FTZ524176:FUA524190 GDV524176:GDW524190 GNR524176:GNS524190 GXN524176:GXO524190 HHJ524176:HHK524190 HRF524176:HRG524190 IBB524176:IBC524190 IKX524176:IKY524190 IUT524176:IUU524190 JEP524176:JEQ524190 JOL524176:JOM524190 JYH524176:JYI524190 KID524176:KIE524190 KRZ524176:KSA524190 LBV524176:LBW524190 LLR524176:LLS524190 LVN524176:LVO524190 MFJ524176:MFK524190 MPF524176:MPG524190 MZB524176:MZC524190 NIX524176:NIY524190 NST524176:NSU524190 OCP524176:OCQ524190 OML524176:OMM524190 OWH524176:OWI524190 PGD524176:PGE524190 PPZ524176:PQA524190 PZV524176:PZW524190 QJR524176:QJS524190 QTN524176:QTO524190 RDJ524176:RDK524190 RNF524176:RNG524190 RXB524176:RXC524190 SGX524176:SGY524190 SQT524176:SQU524190 TAP524176:TAQ524190 TKL524176:TKM524190 TUH524176:TUI524190 UED524176:UEE524190 UNZ524176:UOA524190 UXV524176:UXW524190 VHR524176:VHS524190 VRN524176:VRO524190 WBJ524176:WBK524190 WLF524176:WLG524190 WVB524176:WVC524190 E589712:F589726 IP589712:IQ589726 SL589712:SM589726 ACH589712:ACI589726 AMD589712:AME589726 AVZ589712:AWA589726 BFV589712:BFW589726 BPR589712:BPS589726 BZN589712:BZO589726 CJJ589712:CJK589726 CTF589712:CTG589726 DDB589712:DDC589726 DMX589712:DMY589726 DWT589712:DWU589726 EGP589712:EGQ589726 EQL589712:EQM589726 FAH589712:FAI589726 FKD589712:FKE589726 FTZ589712:FUA589726 GDV589712:GDW589726 GNR589712:GNS589726 GXN589712:GXO589726 HHJ589712:HHK589726 HRF589712:HRG589726 IBB589712:IBC589726 IKX589712:IKY589726 IUT589712:IUU589726 JEP589712:JEQ589726 JOL589712:JOM589726 JYH589712:JYI589726 KID589712:KIE589726 KRZ589712:KSA589726 LBV589712:LBW589726 LLR589712:LLS589726 LVN589712:LVO589726 MFJ589712:MFK589726 MPF589712:MPG589726 MZB589712:MZC589726 NIX589712:NIY589726 NST589712:NSU589726 OCP589712:OCQ589726 OML589712:OMM589726 OWH589712:OWI589726 PGD589712:PGE589726 PPZ589712:PQA589726 PZV589712:PZW589726 QJR589712:QJS589726 QTN589712:QTO589726 RDJ589712:RDK589726 RNF589712:RNG589726 RXB589712:RXC589726 SGX589712:SGY589726 SQT589712:SQU589726 TAP589712:TAQ589726 TKL589712:TKM589726 TUH589712:TUI589726 UED589712:UEE589726 UNZ589712:UOA589726 UXV589712:UXW589726 VHR589712:VHS589726 VRN589712:VRO589726 WBJ589712:WBK589726 WLF589712:WLG589726 WVB589712:WVC589726 E655248:F655262 IP655248:IQ655262 SL655248:SM655262 ACH655248:ACI655262 AMD655248:AME655262 AVZ655248:AWA655262 BFV655248:BFW655262 BPR655248:BPS655262 BZN655248:BZO655262 CJJ655248:CJK655262 CTF655248:CTG655262 DDB655248:DDC655262 DMX655248:DMY655262 DWT655248:DWU655262 EGP655248:EGQ655262 EQL655248:EQM655262 FAH655248:FAI655262 FKD655248:FKE655262 FTZ655248:FUA655262 GDV655248:GDW655262 GNR655248:GNS655262 GXN655248:GXO655262 HHJ655248:HHK655262 HRF655248:HRG655262 IBB655248:IBC655262 IKX655248:IKY655262 IUT655248:IUU655262 JEP655248:JEQ655262 JOL655248:JOM655262 JYH655248:JYI655262 KID655248:KIE655262 KRZ655248:KSA655262 LBV655248:LBW655262 LLR655248:LLS655262 LVN655248:LVO655262 MFJ655248:MFK655262 MPF655248:MPG655262 MZB655248:MZC655262 NIX655248:NIY655262 NST655248:NSU655262 OCP655248:OCQ655262 OML655248:OMM655262 OWH655248:OWI655262 PGD655248:PGE655262 PPZ655248:PQA655262 PZV655248:PZW655262 QJR655248:QJS655262 QTN655248:QTO655262 RDJ655248:RDK655262 RNF655248:RNG655262 RXB655248:RXC655262 SGX655248:SGY655262 SQT655248:SQU655262 TAP655248:TAQ655262 TKL655248:TKM655262 TUH655248:TUI655262 UED655248:UEE655262 UNZ655248:UOA655262 UXV655248:UXW655262 VHR655248:VHS655262 VRN655248:VRO655262 WBJ655248:WBK655262 WLF655248:WLG655262 WVB655248:WVC655262 E720784:F720798 IP720784:IQ720798 SL720784:SM720798 ACH720784:ACI720798 AMD720784:AME720798 AVZ720784:AWA720798 BFV720784:BFW720798 BPR720784:BPS720798 BZN720784:BZO720798 CJJ720784:CJK720798 CTF720784:CTG720798 DDB720784:DDC720798 DMX720784:DMY720798 DWT720784:DWU720798 EGP720784:EGQ720798 EQL720784:EQM720798 FAH720784:FAI720798 FKD720784:FKE720798 FTZ720784:FUA720798 GDV720784:GDW720798 GNR720784:GNS720798 GXN720784:GXO720798 HHJ720784:HHK720798 HRF720784:HRG720798 IBB720784:IBC720798 IKX720784:IKY720798 IUT720784:IUU720798 JEP720784:JEQ720798 JOL720784:JOM720798 JYH720784:JYI720798 KID720784:KIE720798 KRZ720784:KSA720798 LBV720784:LBW720798 LLR720784:LLS720798 LVN720784:LVO720798 MFJ720784:MFK720798 MPF720784:MPG720798 MZB720784:MZC720798 NIX720784:NIY720798 NST720784:NSU720798 OCP720784:OCQ720798 OML720784:OMM720798 OWH720784:OWI720798 PGD720784:PGE720798 PPZ720784:PQA720798 PZV720784:PZW720798 QJR720784:QJS720798 QTN720784:QTO720798 RDJ720784:RDK720798 RNF720784:RNG720798 RXB720784:RXC720798 SGX720784:SGY720798 SQT720784:SQU720798 TAP720784:TAQ720798 TKL720784:TKM720798 TUH720784:TUI720798 UED720784:UEE720798 UNZ720784:UOA720798 UXV720784:UXW720798 VHR720784:VHS720798 VRN720784:VRO720798 WBJ720784:WBK720798 WLF720784:WLG720798 WVB720784:WVC720798 E786320:F786334 IP786320:IQ786334 SL786320:SM786334 ACH786320:ACI786334 AMD786320:AME786334 AVZ786320:AWA786334 BFV786320:BFW786334 BPR786320:BPS786334 BZN786320:BZO786334 CJJ786320:CJK786334 CTF786320:CTG786334 DDB786320:DDC786334 DMX786320:DMY786334 DWT786320:DWU786334 EGP786320:EGQ786334 EQL786320:EQM786334 FAH786320:FAI786334 FKD786320:FKE786334 FTZ786320:FUA786334 GDV786320:GDW786334 GNR786320:GNS786334 GXN786320:GXO786334 HHJ786320:HHK786334 HRF786320:HRG786334 IBB786320:IBC786334 IKX786320:IKY786334 IUT786320:IUU786334 JEP786320:JEQ786334 JOL786320:JOM786334 JYH786320:JYI786334 KID786320:KIE786334 KRZ786320:KSA786334 LBV786320:LBW786334 LLR786320:LLS786334 LVN786320:LVO786334 MFJ786320:MFK786334 MPF786320:MPG786334 MZB786320:MZC786334 NIX786320:NIY786334 NST786320:NSU786334 OCP786320:OCQ786334 OML786320:OMM786334 OWH786320:OWI786334 PGD786320:PGE786334 PPZ786320:PQA786334 PZV786320:PZW786334 QJR786320:QJS786334 QTN786320:QTO786334 RDJ786320:RDK786334 RNF786320:RNG786334 RXB786320:RXC786334 SGX786320:SGY786334 SQT786320:SQU786334 TAP786320:TAQ786334 TKL786320:TKM786334 TUH786320:TUI786334 UED786320:UEE786334 UNZ786320:UOA786334 UXV786320:UXW786334 VHR786320:VHS786334 VRN786320:VRO786334 WBJ786320:WBK786334 WLF786320:WLG786334 WVB786320:WVC786334 E851856:F851870 IP851856:IQ851870 SL851856:SM851870 ACH851856:ACI851870 AMD851856:AME851870 AVZ851856:AWA851870 BFV851856:BFW851870 BPR851856:BPS851870 BZN851856:BZO851870 CJJ851856:CJK851870 CTF851856:CTG851870 DDB851856:DDC851870 DMX851856:DMY851870 DWT851856:DWU851870 EGP851856:EGQ851870 EQL851856:EQM851870 FAH851856:FAI851870 FKD851856:FKE851870 FTZ851856:FUA851870 GDV851856:GDW851870 GNR851856:GNS851870 GXN851856:GXO851870 HHJ851856:HHK851870 HRF851856:HRG851870 IBB851856:IBC851870 IKX851856:IKY851870 IUT851856:IUU851870 JEP851856:JEQ851870 JOL851856:JOM851870 JYH851856:JYI851870 KID851856:KIE851870 KRZ851856:KSA851870 LBV851856:LBW851870 LLR851856:LLS851870 LVN851856:LVO851870 MFJ851856:MFK851870 MPF851856:MPG851870 MZB851856:MZC851870 NIX851856:NIY851870 NST851856:NSU851870 OCP851856:OCQ851870 OML851856:OMM851870 OWH851856:OWI851870 PGD851856:PGE851870 PPZ851856:PQA851870 PZV851856:PZW851870 QJR851856:QJS851870 QTN851856:QTO851870 RDJ851856:RDK851870 RNF851856:RNG851870 RXB851856:RXC851870 SGX851856:SGY851870 SQT851856:SQU851870 TAP851856:TAQ851870 TKL851856:TKM851870 TUH851856:TUI851870 UED851856:UEE851870 UNZ851856:UOA851870 UXV851856:UXW851870 VHR851856:VHS851870 VRN851856:VRO851870 WBJ851856:WBK851870 WLF851856:WLG851870 WVB851856:WVC851870 E917392:F917406 IP917392:IQ917406 SL917392:SM917406 ACH917392:ACI917406 AMD917392:AME917406 AVZ917392:AWA917406 BFV917392:BFW917406 BPR917392:BPS917406 BZN917392:BZO917406 CJJ917392:CJK917406 CTF917392:CTG917406 DDB917392:DDC917406 DMX917392:DMY917406 DWT917392:DWU917406 EGP917392:EGQ917406 EQL917392:EQM917406 FAH917392:FAI917406 FKD917392:FKE917406 FTZ917392:FUA917406 GDV917392:GDW917406 GNR917392:GNS917406 GXN917392:GXO917406 HHJ917392:HHK917406 HRF917392:HRG917406 IBB917392:IBC917406 IKX917392:IKY917406 IUT917392:IUU917406 JEP917392:JEQ917406 JOL917392:JOM917406 JYH917392:JYI917406 KID917392:KIE917406 KRZ917392:KSA917406 LBV917392:LBW917406 LLR917392:LLS917406 LVN917392:LVO917406 MFJ917392:MFK917406 MPF917392:MPG917406 MZB917392:MZC917406 NIX917392:NIY917406 NST917392:NSU917406 OCP917392:OCQ917406 OML917392:OMM917406 OWH917392:OWI917406 PGD917392:PGE917406 PPZ917392:PQA917406 PZV917392:PZW917406 QJR917392:QJS917406 QTN917392:QTO917406 RDJ917392:RDK917406 RNF917392:RNG917406 RXB917392:RXC917406 SGX917392:SGY917406 SQT917392:SQU917406 TAP917392:TAQ917406 TKL917392:TKM917406 TUH917392:TUI917406 UED917392:UEE917406 UNZ917392:UOA917406 UXV917392:UXW917406 VHR917392:VHS917406 VRN917392:VRO917406 WBJ917392:WBK917406 WLF917392:WLG917406 WVB917392:WVC917406 E982928:F982942 IP982928:IQ982942 SL982928:SM982942 ACH982928:ACI982942 AMD982928:AME982942 AVZ982928:AWA982942 BFV982928:BFW982942 BPR982928:BPS982942 BZN982928:BZO982942 CJJ982928:CJK982942 CTF982928:CTG982942 DDB982928:DDC982942 DMX982928:DMY982942 DWT982928:DWU982942 EGP982928:EGQ982942 EQL982928:EQM982942 FAH982928:FAI982942 FKD982928:FKE982942 FTZ982928:FUA982942 GDV982928:GDW982942 GNR982928:GNS982942 GXN982928:GXO982942 HHJ982928:HHK982942 HRF982928:HRG982942 IBB982928:IBC982942 IKX982928:IKY982942 IUT982928:IUU982942 JEP982928:JEQ982942 JOL982928:JOM982942 JYH982928:JYI982942 KID982928:KIE982942 KRZ982928:KSA982942 LBV982928:LBW982942 LLR982928:LLS982942 LVN982928:LVO982942 MFJ982928:MFK982942 MPF982928:MPG982942 MZB982928:MZC982942 NIX982928:NIY982942 NST982928:NSU982942 OCP982928:OCQ982942 OML982928:OMM982942 OWH982928:OWI982942 PGD982928:PGE982942 PPZ982928:PQA982942 PZV982928:PZW982942 QJR982928:QJS982942 QTN982928:QTO982942 RDJ982928:RDK982942 RNF982928:RNG982942 RXB982928:RXC982942 SGX982928:SGY982942 SQT982928:SQU982942 TAP982928:TAQ982942 TKL982928:TKM982942 TUH982928:TUI982942 UED982928:UEE982942 UNZ982928:UOA982942 UXV982928:UXW982942 VHR982928:VHS982942 VRN982928:VRO982942 WBJ982928:WBK982942 WLF982928:WLG982942" xr:uid="{00000000-0002-0000-0000-000000000000}">
      <formula1>#REF!</formula1>
    </dataValidation>
  </dataValidations>
  <printOptions horizontalCentered="1"/>
  <pageMargins left="0.75" right="0.75"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SaveMUA">
              <controlPr defaultSize="0" print="0" autoFill="0" autoPict="0" macro="[0]!SaveMUA">
                <anchor>
                  <from>
                    <xdr:col>9</xdr:col>
                    <xdr:colOff>161925</xdr:colOff>
                    <xdr:row>2</xdr:row>
                    <xdr:rowOff>0</xdr:rowOff>
                  </from>
                  <to>
                    <xdr:col>10</xdr:col>
                    <xdr:colOff>581025</xdr:colOff>
                    <xdr:row>2</xdr:row>
                    <xdr:rowOff>619125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Notes"/>
  <dimension ref="C1:H1"/>
  <sheetViews>
    <sheetView showGridLines="0" workbookViewId="0">
      <selection activeCell="K4" sqref="K4"/>
    </sheetView>
  </sheetViews>
  <sheetFormatPr defaultColWidth="8.85546875" defaultRowHeight="12.75" x14ac:dyDescent="0.2"/>
  <cols>
    <col min="1" max="16384" width="8.85546875" style="6"/>
  </cols>
  <sheetData>
    <row r="1" spans="3:8" ht="27" customHeight="1" x14ac:dyDescent="0.2">
      <c r="C1" s="321" t="s">
        <v>190</v>
      </c>
      <c r="D1" s="321"/>
      <c r="E1" s="321"/>
      <c r="F1" s="321"/>
      <c r="G1" s="321"/>
      <c r="H1" s="321"/>
    </row>
  </sheetData>
  <mergeCells count="1">
    <mergeCell ref="C1:H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8">
    <pageSetUpPr fitToPage="1"/>
  </sheetPr>
  <dimension ref="A1:PU32"/>
  <sheetViews>
    <sheetView showGridLines="0" zoomScale="80" zoomScaleNormal="80" workbookViewId="0">
      <pane xSplit="6" ySplit="5" topLeftCell="G6" activePane="bottomRight" state="frozen"/>
      <selection activeCell="B6" sqref="B6"/>
      <selection pane="topRight" activeCell="B6" sqref="B6"/>
      <selection pane="bottomLeft" activeCell="B6" sqref="B6"/>
      <selection pane="bottomRight" activeCell="B6" sqref="B6"/>
    </sheetView>
  </sheetViews>
  <sheetFormatPr defaultColWidth="8.85546875" defaultRowHeight="12.75" x14ac:dyDescent="0.2"/>
  <cols>
    <col min="1" max="1" width="13.85546875" style="7" customWidth="1"/>
    <col min="2" max="3" width="13.42578125" style="255" customWidth="1"/>
    <col min="4" max="4" width="12.5703125" style="234" customWidth="1"/>
    <col min="5" max="5" width="13.140625" style="234" customWidth="1"/>
    <col min="6" max="6" width="13" style="234" customWidth="1"/>
    <col min="7" max="7" width="10.5703125" style="234" customWidth="1"/>
    <col min="8" max="9" width="8.85546875" style="234"/>
    <col min="10" max="10" width="13.42578125" style="234" customWidth="1"/>
    <col min="11" max="11" width="12.140625" style="234" customWidth="1"/>
    <col min="12" max="12" width="14.42578125" style="234" customWidth="1"/>
    <col min="13" max="14" width="12.140625" style="234" customWidth="1"/>
    <col min="15" max="16" width="15" style="234" customWidth="1"/>
    <col min="17" max="17" width="12.140625" style="6" customWidth="1"/>
    <col min="18" max="18" width="13.42578125" style="6" customWidth="1"/>
    <col min="19" max="19" width="8.5703125" style="7" customWidth="1"/>
    <col min="20" max="20" width="43.85546875" style="234" customWidth="1"/>
    <col min="21" max="21" width="13.42578125" style="7" customWidth="1"/>
    <col min="22" max="22" width="13.140625" style="7" customWidth="1"/>
    <col min="23" max="23" width="7.5703125" style="7" customWidth="1"/>
    <col min="24" max="24" width="10.5703125" style="6" customWidth="1"/>
    <col min="25" max="25" width="9.85546875" style="6" customWidth="1"/>
    <col min="26" max="26" width="12.42578125" style="6" customWidth="1"/>
    <col min="27" max="27" width="13.5703125" style="6" customWidth="1"/>
    <col min="28" max="28" width="14.140625" style="6" customWidth="1"/>
    <col min="29" max="30" width="14.42578125" style="6" customWidth="1"/>
    <col min="31" max="31" width="12.140625" style="6" customWidth="1"/>
    <col min="32" max="32" width="10.5703125" style="6" customWidth="1"/>
    <col min="33" max="33" width="10.85546875" style="6" customWidth="1"/>
    <col min="34" max="34" width="14.5703125" style="235" customWidth="1"/>
    <col min="35" max="35" width="11.85546875" style="7" hidden="1" customWidth="1"/>
    <col min="36" max="36" width="16.85546875" style="7" hidden="1" customWidth="1"/>
    <col min="37" max="38" width="19.5703125" style="7" hidden="1" customWidth="1"/>
    <col min="39" max="39" width="13.42578125" style="7" hidden="1" customWidth="1"/>
    <col min="40" max="41" width="12.140625" style="7" hidden="1" customWidth="1"/>
    <col min="42" max="42" width="11.85546875" style="7" hidden="1" customWidth="1"/>
    <col min="43" max="43" width="16.85546875" style="7" hidden="1" customWidth="1"/>
    <col min="44" max="45" width="19.5703125" style="7" hidden="1" customWidth="1"/>
    <col min="46" max="46" width="13.42578125" style="7" hidden="1" customWidth="1"/>
    <col min="47" max="48" width="12.140625" style="7" hidden="1" customWidth="1"/>
    <col min="49" max="49" width="11.85546875" style="7" hidden="1" customWidth="1"/>
    <col min="50" max="50" width="16.85546875" style="7" hidden="1" customWidth="1"/>
    <col min="51" max="52" width="19.5703125" style="7" hidden="1" customWidth="1"/>
    <col min="53" max="53" width="13.42578125" style="7" hidden="1" customWidth="1"/>
    <col min="54" max="55" width="12.140625" style="7" hidden="1" customWidth="1"/>
    <col min="56" max="56" width="11.85546875" style="7" hidden="1" customWidth="1"/>
    <col min="57" max="57" width="16.85546875" style="7" hidden="1" customWidth="1"/>
    <col min="58" max="59" width="19.5703125" style="7" hidden="1" customWidth="1"/>
    <col min="60" max="60" width="13.42578125" style="7" hidden="1" customWidth="1"/>
    <col min="61" max="62" width="12.140625" style="7" hidden="1" customWidth="1"/>
    <col min="63" max="63" width="11.85546875" style="7" hidden="1" customWidth="1"/>
    <col min="64" max="64" width="16.85546875" style="7" hidden="1" customWidth="1"/>
    <col min="65" max="66" width="19.5703125" style="7" hidden="1" customWidth="1"/>
    <col min="67" max="67" width="13.42578125" style="7" hidden="1" customWidth="1"/>
    <col min="68" max="69" width="12.140625" style="7" hidden="1" customWidth="1"/>
    <col min="70" max="70" width="11.85546875" style="7" hidden="1" customWidth="1"/>
    <col min="71" max="71" width="16.85546875" style="7" hidden="1" customWidth="1"/>
    <col min="72" max="73" width="19.5703125" style="7" hidden="1" customWidth="1"/>
    <col min="74" max="74" width="13.42578125" style="7" hidden="1" customWidth="1"/>
    <col min="75" max="76" width="12.140625" style="7" hidden="1" customWidth="1"/>
    <col min="77" max="77" width="11.85546875" style="7" hidden="1" customWidth="1"/>
    <col min="78" max="78" width="16.85546875" style="7" hidden="1" customWidth="1"/>
    <col min="79" max="80" width="19.5703125" style="7" hidden="1" customWidth="1"/>
    <col min="81" max="81" width="13.42578125" style="7" hidden="1" customWidth="1"/>
    <col min="82" max="83" width="12.140625" style="7" hidden="1" customWidth="1"/>
    <col min="84" max="84" width="11.85546875" style="7" hidden="1" customWidth="1"/>
    <col min="85" max="85" width="16.85546875" style="7" hidden="1" customWidth="1"/>
    <col min="86" max="87" width="19.5703125" style="7" hidden="1" customWidth="1"/>
    <col min="88" max="88" width="13.42578125" style="7" hidden="1" customWidth="1"/>
    <col min="89" max="90" width="12.140625" style="7" hidden="1" customWidth="1"/>
    <col min="91" max="91" width="11.85546875" style="7" hidden="1" customWidth="1"/>
    <col min="92" max="92" width="16.85546875" style="7" hidden="1" customWidth="1"/>
    <col min="93" max="94" width="19.5703125" style="7" hidden="1" customWidth="1"/>
    <col min="95" max="95" width="13.42578125" style="7" hidden="1" customWidth="1"/>
    <col min="96" max="97" width="12.140625" style="7" hidden="1" customWidth="1"/>
    <col min="98" max="98" width="11.85546875" style="7" hidden="1" customWidth="1"/>
    <col min="99" max="99" width="16.85546875" style="7" hidden="1" customWidth="1"/>
    <col min="100" max="101" width="19.5703125" style="7" hidden="1" customWidth="1"/>
    <col min="102" max="102" width="13.42578125" style="7" hidden="1" customWidth="1"/>
    <col min="103" max="104" width="12.140625" style="7" hidden="1" customWidth="1"/>
    <col min="105" max="105" width="11.85546875" style="7" hidden="1" customWidth="1"/>
    <col min="106" max="106" width="16.85546875" style="7" hidden="1" customWidth="1"/>
    <col min="107" max="108" width="19.5703125" style="7" hidden="1" customWidth="1"/>
    <col min="109" max="109" width="13.42578125" style="7" hidden="1" customWidth="1"/>
    <col min="110" max="111" width="12.140625" style="7" hidden="1" customWidth="1"/>
    <col min="112" max="112" width="11.85546875" style="7" hidden="1" customWidth="1"/>
    <col min="113" max="113" width="16.85546875" style="7" hidden="1" customWidth="1"/>
    <col min="114" max="115" width="19.5703125" style="7" hidden="1" customWidth="1"/>
    <col min="116" max="116" width="13.42578125" style="7" hidden="1" customWidth="1"/>
    <col min="117" max="118" width="12.140625" style="7" hidden="1" customWidth="1"/>
    <col min="119" max="119" width="11.85546875" style="7" hidden="1" customWidth="1"/>
    <col min="120" max="120" width="16.85546875" style="7" hidden="1" customWidth="1"/>
    <col min="121" max="122" width="19.5703125" style="7" hidden="1" customWidth="1"/>
    <col min="123" max="123" width="13.42578125" style="7" hidden="1" customWidth="1"/>
    <col min="124" max="125" width="12.140625" style="7" hidden="1" customWidth="1"/>
    <col min="126" max="126" width="11.85546875" style="7" hidden="1" customWidth="1"/>
    <col min="127" max="127" width="16.85546875" style="7" hidden="1" customWidth="1"/>
    <col min="128" max="129" width="19.5703125" style="7" hidden="1" customWidth="1"/>
    <col min="130" max="130" width="13.42578125" style="7" hidden="1" customWidth="1"/>
    <col min="131" max="132" width="12.140625" style="7" hidden="1" customWidth="1"/>
    <col min="133" max="133" width="11.85546875" style="7" hidden="1" customWidth="1"/>
    <col min="134" max="134" width="16.85546875" style="7" hidden="1" customWidth="1"/>
    <col min="135" max="136" width="19.5703125" style="7" hidden="1" customWidth="1"/>
    <col min="137" max="137" width="13.42578125" style="7" hidden="1" customWidth="1"/>
    <col min="138" max="142" width="12.140625" style="7" hidden="1" customWidth="1"/>
    <col min="143" max="143" width="19.5703125" style="7" hidden="1" customWidth="1"/>
    <col min="144" max="144" width="8.85546875" style="7" hidden="1" customWidth="1"/>
    <col min="145" max="145" width="11.140625" style="10" hidden="1" customWidth="1"/>
    <col min="146" max="146" width="13.42578125" style="10" hidden="1" customWidth="1"/>
    <col min="147" max="147" width="12.140625" style="10" hidden="1" customWidth="1"/>
    <col min="148" max="148" width="12.42578125" style="10" hidden="1" customWidth="1"/>
    <col min="149" max="149" width="14.42578125" style="10" hidden="1" customWidth="1"/>
    <col min="150" max="150" width="12.5703125" style="10" hidden="1" customWidth="1"/>
    <col min="151" max="151" width="12.140625" style="10" hidden="1" customWidth="1"/>
    <col min="152" max="152" width="14.42578125" style="10" hidden="1" customWidth="1"/>
    <col min="153" max="153" width="12.5703125" style="10" hidden="1" customWidth="1"/>
    <col min="154" max="155" width="12.140625" style="10" hidden="1" customWidth="1"/>
    <col min="156" max="156" width="14.42578125" style="10" hidden="1" customWidth="1"/>
    <col min="157" max="157" width="12.5703125" style="10" hidden="1" customWidth="1"/>
    <col min="158" max="158" width="12.140625" style="10" hidden="1" customWidth="1"/>
    <col min="159" max="159" width="13.85546875" style="10" hidden="1" customWidth="1"/>
    <col min="160" max="160" width="11.140625" style="10" hidden="1" customWidth="1"/>
    <col min="161" max="161" width="13.42578125" style="10" hidden="1" customWidth="1"/>
    <col min="162" max="162" width="12.140625" style="10" hidden="1" customWidth="1"/>
    <col min="163" max="163" width="12.42578125" style="10" hidden="1" customWidth="1"/>
    <col min="164" max="164" width="14.42578125" style="10" hidden="1" customWidth="1"/>
    <col min="165" max="165" width="12.5703125" style="10" hidden="1" customWidth="1"/>
    <col min="166" max="166" width="12.140625" style="10" hidden="1" customWidth="1"/>
    <col min="167" max="167" width="14.42578125" style="10" hidden="1" customWidth="1"/>
    <col min="168" max="168" width="12.5703125" style="10" hidden="1" customWidth="1"/>
    <col min="169" max="170" width="12.140625" style="10" hidden="1" customWidth="1"/>
    <col min="171" max="171" width="14.42578125" style="10" hidden="1" customWidth="1"/>
    <col min="172" max="172" width="12.5703125" style="10" hidden="1" customWidth="1"/>
    <col min="173" max="173" width="12.140625" style="10" hidden="1" customWidth="1"/>
    <col min="174" max="174" width="14.140625" style="10" hidden="1" customWidth="1"/>
    <col min="175" max="175" width="11.140625" style="10" hidden="1" customWidth="1"/>
    <col min="176" max="176" width="13.42578125" style="10" hidden="1" customWidth="1"/>
    <col min="177" max="177" width="12.140625" style="10" hidden="1" customWidth="1"/>
    <col min="178" max="178" width="12.42578125" style="10" hidden="1" customWidth="1"/>
    <col min="179" max="179" width="14.42578125" style="10" hidden="1" customWidth="1"/>
    <col min="180" max="180" width="12.5703125" style="10" hidden="1" customWidth="1"/>
    <col min="181" max="184" width="12.140625" style="10" hidden="1" customWidth="1"/>
    <col min="185" max="189" width="12.140625" style="7" hidden="1" customWidth="1"/>
    <col min="190" max="190" width="8.85546875" style="7" hidden="1" customWidth="1"/>
    <col min="191" max="191" width="12.140625" style="7" hidden="1" customWidth="1"/>
    <col min="192" max="193" width="13.42578125" style="10" hidden="1" customWidth="1"/>
    <col min="194" max="194" width="12.140625" style="10" hidden="1" customWidth="1"/>
    <col min="195" max="195" width="12.42578125" style="10" hidden="1" customWidth="1"/>
    <col min="196" max="196" width="14.42578125" style="10" hidden="1" customWidth="1"/>
    <col min="197" max="197" width="12.5703125" style="10" hidden="1" customWidth="1"/>
    <col min="198" max="201" width="12.140625" style="10" hidden="1" customWidth="1"/>
    <col min="202" max="206" width="12.140625" style="7" hidden="1" customWidth="1"/>
    <col min="207" max="207" width="8.85546875" style="7" hidden="1" customWidth="1"/>
    <col min="208" max="208" width="11.140625" style="10" hidden="1" customWidth="1"/>
    <col min="209" max="209" width="13.42578125" style="10" hidden="1" customWidth="1"/>
    <col min="210" max="210" width="12.140625" style="10" hidden="1" customWidth="1"/>
    <col min="211" max="211" width="12.42578125" style="10" hidden="1" customWidth="1"/>
    <col min="212" max="212" width="14.42578125" style="10" hidden="1" customWidth="1"/>
    <col min="213" max="213" width="12.5703125" style="10" hidden="1" customWidth="1"/>
    <col min="214" max="214" width="12.140625" style="10" hidden="1" customWidth="1"/>
    <col min="215" max="215" width="14.42578125" style="10" hidden="1" customWidth="1"/>
    <col min="216" max="216" width="12.5703125" style="10" hidden="1" customWidth="1"/>
    <col min="217" max="218" width="12.140625" style="10" hidden="1" customWidth="1"/>
    <col min="219" max="219" width="14.42578125" style="10" hidden="1" customWidth="1"/>
    <col min="220" max="220" width="12.5703125" style="10" hidden="1" customWidth="1"/>
    <col min="221" max="221" width="12.140625" style="10" hidden="1" customWidth="1"/>
    <col min="222" max="222" width="11.140625" style="10" hidden="1" customWidth="1"/>
    <col min="223" max="223" width="13.42578125" style="10" hidden="1" customWidth="1"/>
    <col min="224" max="224" width="12.140625" style="10" hidden="1" customWidth="1"/>
    <col min="225" max="225" width="12.42578125" style="10" hidden="1" customWidth="1"/>
    <col min="226" max="226" width="14.42578125" style="10" hidden="1" customWidth="1"/>
    <col min="227" max="227" width="12.5703125" style="10" hidden="1" customWidth="1"/>
    <col min="228" max="228" width="12.140625" style="10" hidden="1" customWidth="1"/>
    <col min="229" max="229" width="14.42578125" style="10" hidden="1" customWidth="1"/>
    <col min="230" max="230" width="12.5703125" style="10" hidden="1" customWidth="1"/>
    <col min="231" max="232" width="12.140625" style="10" hidden="1" customWidth="1"/>
    <col min="233" max="233" width="14.42578125" style="10" hidden="1" customWidth="1"/>
    <col min="234" max="234" width="12.5703125" style="10" hidden="1" customWidth="1"/>
    <col min="235" max="235" width="12.140625" style="10" hidden="1" customWidth="1"/>
    <col min="236" max="236" width="11.140625" style="10" hidden="1" customWidth="1"/>
    <col min="237" max="237" width="13.42578125" style="10" hidden="1" customWidth="1"/>
    <col min="238" max="238" width="12.140625" style="10" hidden="1" customWidth="1"/>
    <col min="239" max="239" width="12.42578125" style="10" hidden="1" customWidth="1"/>
    <col min="240" max="240" width="14.42578125" style="10" hidden="1" customWidth="1"/>
    <col min="241" max="241" width="12.5703125" style="10" hidden="1" customWidth="1"/>
    <col min="242" max="242" width="12.140625" style="10" hidden="1" customWidth="1"/>
    <col min="243" max="243" width="14.42578125" style="10" hidden="1" customWidth="1"/>
    <col min="244" max="244" width="12.5703125" style="10" hidden="1" customWidth="1"/>
    <col min="245" max="246" width="12.140625" style="10" hidden="1" customWidth="1"/>
    <col min="247" max="247" width="14.42578125" style="10" hidden="1" customWidth="1"/>
    <col min="248" max="248" width="12.5703125" style="10" hidden="1" customWidth="1"/>
    <col min="249" max="249" width="12.140625" style="10" hidden="1" customWidth="1"/>
    <col min="250" max="250" width="11.140625" style="10" hidden="1" customWidth="1"/>
    <col min="251" max="251" width="13.42578125" style="10" hidden="1" customWidth="1"/>
    <col min="252" max="252" width="12.140625" style="10" hidden="1" customWidth="1"/>
    <col min="253" max="253" width="12.42578125" style="10" hidden="1" customWidth="1"/>
    <col min="254" max="254" width="14.42578125" style="10" hidden="1" customWidth="1"/>
    <col min="255" max="255" width="12.5703125" style="10" hidden="1" customWidth="1"/>
    <col min="256" max="256" width="12.140625" style="10" hidden="1" customWidth="1"/>
    <col min="257" max="257" width="14.42578125" style="10" hidden="1" customWidth="1"/>
    <col min="258" max="258" width="12.5703125" style="10" hidden="1" customWidth="1"/>
    <col min="259" max="260" width="12.140625" style="10" hidden="1" customWidth="1"/>
    <col min="261" max="261" width="14.42578125" style="10" hidden="1" customWidth="1"/>
    <col min="262" max="262" width="12.5703125" style="10" hidden="1" customWidth="1"/>
    <col min="263" max="263" width="12.140625" style="10" hidden="1" customWidth="1"/>
    <col min="264" max="264" width="11.140625" style="10" hidden="1" customWidth="1"/>
    <col min="265" max="265" width="13.42578125" style="10" hidden="1" customWidth="1"/>
    <col min="266" max="266" width="12.140625" style="10" hidden="1" customWidth="1"/>
    <col min="267" max="267" width="12.42578125" style="10" hidden="1" customWidth="1"/>
    <col min="268" max="268" width="14.42578125" style="10" hidden="1" customWidth="1"/>
    <col min="269" max="269" width="12.5703125" style="10" hidden="1" customWidth="1"/>
    <col min="270" max="270" width="12.140625" style="10" hidden="1" customWidth="1"/>
    <col min="271" max="271" width="14.42578125" style="10" hidden="1" customWidth="1"/>
    <col min="272" max="272" width="12.5703125" style="10" hidden="1" customWidth="1"/>
    <col min="273" max="274" width="12.140625" style="10" hidden="1" customWidth="1"/>
    <col min="275" max="275" width="14.42578125" style="10" hidden="1" customWidth="1"/>
    <col min="276" max="276" width="12.5703125" style="10" hidden="1" customWidth="1"/>
    <col min="277" max="277" width="12.140625" style="10" hidden="1" customWidth="1"/>
    <col min="278" max="278" width="11.140625" style="10" hidden="1" customWidth="1"/>
    <col min="279" max="279" width="13.42578125" style="10" hidden="1" customWidth="1"/>
    <col min="280" max="280" width="12.140625" style="10" hidden="1" customWidth="1"/>
    <col min="281" max="281" width="12.42578125" style="10" hidden="1" customWidth="1"/>
    <col min="282" max="282" width="14.42578125" style="10" hidden="1" customWidth="1"/>
    <col min="283" max="283" width="12.5703125" style="10" hidden="1" customWidth="1"/>
    <col min="284" max="284" width="12.140625" style="10" hidden="1" customWidth="1"/>
    <col min="285" max="285" width="14.42578125" style="10" hidden="1" customWidth="1"/>
    <col min="286" max="286" width="12.5703125" style="10" hidden="1" customWidth="1"/>
    <col min="287" max="288" width="12.140625" style="10" hidden="1" customWidth="1"/>
    <col min="289" max="289" width="14.42578125" style="10" hidden="1" customWidth="1"/>
    <col min="290" max="290" width="12.5703125" style="10" hidden="1" customWidth="1"/>
    <col min="291" max="291" width="12.140625" style="10" hidden="1" customWidth="1"/>
    <col min="292" max="292" width="11.140625" style="10" hidden="1" customWidth="1"/>
    <col min="293" max="293" width="13.42578125" style="10" hidden="1" customWidth="1"/>
    <col min="294" max="294" width="12.140625" style="10" hidden="1" customWidth="1"/>
    <col min="295" max="295" width="12.42578125" style="10" hidden="1" customWidth="1"/>
    <col min="296" max="296" width="14.42578125" style="10" hidden="1" customWidth="1"/>
    <col min="297" max="297" width="12.5703125" style="10" hidden="1" customWidth="1"/>
    <col min="298" max="298" width="12.140625" style="10" hidden="1" customWidth="1"/>
    <col min="299" max="299" width="14.42578125" style="10" hidden="1" customWidth="1"/>
    <col min="300" max="300" width="12.5703125" style="10" hidden="1" customWidth="1"/>
    <col min="301" max="302" width="12.140625" style="10" hidden="1" customWidth="1"/>
    <col min="303" max="303" width="14.42578125" style="10" hidden="1" customWidth="1"/>
    <col min="304" max="304" width="12.5703125" style="10" hidden="1" customWidth="1"/>
    <col min="305" max="305" width="12.140625" style="10" hidden="1" customWidth="1"/>
    <col min="306" max="306" width="11.140625" style="10" hidden="1" customWidth="1"/>
    <col min="307" max="307" width="13.42578125" style="10" hidden="1" customWidth="1"/>
    <col min="308" max="308" width="12.140625" style="10" hidden="1" customWidth="1"/>
    <col min="309" max="309" width="12.42578125" style="10" hidden="1" customWidth="1"/>
    <col min="310" max="310" width="14.42578125" style="10" hidden="1" customWidth="1"/>
    <col min="311" max="311" width="12.5703125" style="10" hidden="1" customWidth="1"/>
    <col min="312" max="312" width="12.140625" style="10" hidden="1" customWidth="1"/>
    <col min="313" max="313" width="14.42578125" style="10" hidden="1" customWidth="1"/>
    <col min="314" max="314" width="12.5703125" style="10" hidden="1" customWidth="1"/>
    <col min="315" max="316" width="12.140625" style="10" hidden="1" customWidth="1"/>
    <col min="317" max="317" width="14.42578125" style="10" hidden="1" customWidth="1"/>
    <col min="318" max="318" width="12.5703125" style="10" hidden="1" customWidth="1"/>
    <col min="319" max="319" width="12.140625" style="10" hidden="1" customWidth="1"/>
    <col min="320" max="320" width="11.140625" style="10" hidden="1" customWidth="1"/>
    <col min="321" max="321" width="13.42578125" style="10" hidden="1" customWidth="1"/>
    <col min="322" max="322" width="12.140625" style="10" hidden="1" customWidth="1"/>
    <col min="323" max="323" width="12.42578125" style="10" hidden="1" customWidth="1"/>
    <col min="324" max="324" width="14.42578125" style="10" hidden="1" customWidth="1"/>
    <col min="325" max="325" width="12.5703125" style="10" hidden="1" customWidth="1"/>
    <col min="326" max="326" width="12.140625" style="10" hidden="1" customWidth="1"/>
    <col min="327" max="327" width="14.42578125" style="10" hidden="1" customWidth="1"/>
    <col min="328" max="328" width="12.5703125" style="10" hidden="1" customWidth="1"/>
    <col min="329" max="330" width="12.140625" style="10" hidden="1" customWidth="1"/>
    <col min="331" max="331" width="14.42578125" style="10" hidden="1" customWidth="1"/>
    <col min="332" max="332" width="12.5703125" style="10" hidden="1" customWidth="1"/>
    <col min="333" max="333" width="12.140625" style="10" hidden="1" customWidth="1"/>
    <col min="334" max="334" width="11.140625" style="10" hidden="1" customWidth="1"/>
    <col min="335" max="335" width="13.42578125" style="10" hidden="1" customWidth="1"/>
    <col min="336" max="336" width="12.140625" style="10" hidden="1" customWidth="1"/>
    <col min="337" max="337" width="12.42578125" style="10" hidden="1" customWidth="1"/>
    <col min="338" max="338" width="14.42578125" style="10" hidden="1" customWidth="1"/>
    <col min="339" max="339" width="12.5703125" style="10" hidden="1" customWidth="1"/>
    <col min="340" max="340" width="12.140625" style="10" hidden="1" customWidth="1"/>
    <col min="341" max="341" width="14.42578125" style="10" hidden="1" customWidth="1"/>
    <col min="342" max="342" width="12.5703125" style="10" hidden="1" customWidth="1"/>
    <col min="343" max="344" width="12.140625" style="10" hidden="1" customWidth="1"/>
    <col min="345" max="345" width="14.42578125" style="10" hidden="1" customWidth="1"/>
    <col min="346" max="346" width="12.5703125" style="10" hidden="1" customWidth="1"/>
    <col min="347" max="347" width="12.140625" style="10" hidden="1" customWidth="1"/>
    <col min="348" max="348" width="11.140625" style="10" hidden="1" customWidth="1"/>
    <col min="349" max="349" width="13.42578125" style="10" hidden="1" customWidth="1"/>
    <col min="350" max="350" width="12.140625" style="10" hidden="1" customWidth="1"/>
    <col min="351" max="351" width="12.42578125" style="10" hidden="1" customWidth="1"/>
    <col min="352" max="352" width="14.42578125" style="10" hidden="1" customWidth="1"/>
    <col min="353" max="353" width="12.5703125" style="10" hidden="1" customWidth="1"/>
    <col min="354" max="354" width="12.140625" style="10" hidden="1" customWidth="1"/>
    <col min="355" max="355" width="14.42578125" style="10" hidden="1" customWidth="1"/>
    <col min="356" max="356" width="12.5703125" style="10" hidden="1" customWidth="1"/>
    <col min="357" max="358" width="12.140625" style="10" hidden="1" customWidth="1"/>
    <col min="359" max="359" width="14.42578125" style="10" hidden="1" customWidth="1"/>
    <col min="360" max="360" width="12.5703125" style="10" hidden="1" customWidth="1"/>
    <col min="361" max="361" width="12.140625" style="10" hidden="1" customWidth="1"/>
    <col min="362" max="362" width="11.140625" style="10" hidden="1" customWidth="1"/>
    <col min="363" max="363" width="13.42578125" style="10" hidden="1" customWidth="1"/>
    <col min="364" max="364" width="12.140625" style="10" hidden="1" customWidth="1"/>
    <col min="365" max="365" width="12.42578125" style="10" hidden="1" customWidth="1"/>
    <col min="366" max="366" width="14.42578125" style="10" hidden="1" customWidth="1"/>
    <col min="367" max="367" width="12.5703125" style="10" hidden="1" customWidth="1"/>
    <col min="368" max="368" width="12.140625" style="10" hidden="1" customWidth="1"/>
    <col min="369" max="369" width="14.42578125" style="10" hidden="1" customWidth="1"/>
    <col min="370" max="370" width="12.5703125" style="10" hidden="1" customWidth="1"/>
    <col min="371" max="372" width="12.140625" style="10" hidden="1" customWidth="1"/>
    <col min="373" max="373" width="14.42578125" style="10" hidden="1" customWidth="1"/>
    <col min="374" max="374" width="12.5703125" style="10" hidden="1" customWidth="1"/>
    <col min="375" max="375" width="12.140625" style="10" hidden="1" customWidth="1"/>
    <col min="376" max="376" width="11.140625" style="10" hidden="1" customWidth="1"/>
    <col min="377" max="377" width="13.42578125" style="10" hidden="1" customWidth="1"/>
    <col min="378" max="378" width="12.140625" style="10" hidden="1" customWidth="1"/>
    <col min="379" max="379" width="12.42578125" style="10" hidden="1" customWidth="1"/>
    <col min="380" max="380" width="14.42578125" style="10" hidden="1" customWidth="1"/>
    <col min="381" max="381" width="12.5703125" style="10" hidden="1" customWidth="1"/>
    <col min="382" max="382" width="12.140625" style="10" hidden="1" customWidth="1"/>
    <col min="383" max="383" width="14.42578125" style="10" hidden="1" customWidth="1"/>
    <col min="384" max="384" width="12.5703125" style="10" hidden="1" customWidth="1"/>
    <col min="385" max="386" width="12.140625" style="10" hidden="1" customWidth="1"/>
    <col min="387" max="387" width="14.42578125" style="10" hidden="1" customWidth="1"/>
    <col min="388" max="388" width="12.5703125" style="10" hidden="1" customWidth="1"/>
    <col min="389" max="389" width="12.140625" style="10" hidden="1" customWidth="1"/>
    <col min="390" max="390" width="11.140625" style="10" hidden="1" customWidth="1"/>
    <col min="391" max="391" width="13.42578125" style="10" hidden="1" customWidth="1"/>
    <col min="392" max="392" width="12.140625" style="10" hidden="1" customWidth="1"/>
    <col min="393" max="393" width="12.42578125" style="10" hidden="1" customWidth="1"/>
    <col min="394" max="394" width="14.42578125" style="10" hidden="1" customWidth="1"/>
    <col min="395" max="395" width="12.5703125" style="10" hidden="1" customWidth="1"/>
    <col min="396" max="396" width="12.140625" style="10" hidden="1" customWidth="1"/>
    <col min="397" max="397" width="14.42578125" style="10" hidden="1" customWidth="1"/>
    <col min="398" max="398" width="12.5703125" style="10" hidden="1" customWidth="1"/>
    <col min="399" max="400" width="12.140625" style="10" hidden="1" customWidth="1"/>
    <col min="401" max="401" width="14.42578125" style="10" hidden="1" customWidth="1"/>
    <col min="402" max="402" width="12.5703125" style="10" hidden="1" customWidth="1"/>
    <col min="403" max="403" width="12.140625" style="10" hidden="1" customWidth="1"/>
    <col min="404" max="404" width="11.140625" style="10" hidden="1" customWidth="1"/>
    <col min="405" max="405" width="13.42578125" style="10" hidden="1" customWidth="1"/>
    <col min="406" max="406" width="12.140625" style="10" hidden="1" customWidth="1"/>
    <col min="407" max="407" width="12.42578125" style="10" hidden="1" customWidth="1"/>
    <col min="408" max="408" width="14.42578125" style="10" hidden="1" customWidth="1"/>
    <col min="409" max="409" width="12.5703125" style="10" hidden="1" customWidth="1"/>
    <col min="410" max="410" width="12.140625" style="10" hidden="1" customWidth="1"/>
    <col min="411" max="411" width="14.42578125" style="10" hidden="1" customWidth="1"/>
    <col min="412" max="412" width="12.5703125" style="10" hidden="1" customWidth="1"/>
    <col min="413" max="414" width="12.140625" style="10" hidden="1" customWidth="1"/>
    <col min="415" max="415" width="14.42578125" style="10" hidden="1" customWidth="1"/>
    <col min="416" max="416" width="12.5703125" style="10" hidden="1" customWidth="1"/>
    <col min="417" max="417" width="12.140625" style="10" hidden="1" customWidth="1"/>
    <col min="418" max="418" width="8.85546875" style="7" hidden="1" customWidth="1"/>
    <col min="419" max="419" width="11.140625" style="267" hidden="1" customWidth="1"/>
    <col min="420" max="420" width="18.42578125" style="267" hidden="1" customWidth="1"/>
    <col min="421" max="421" width="12.42578125" style="270" hidden="1" customWidth="1"/>
    <col min="422" max="422" width="18.42578125" style="267" hidden="1" customWidth="1"/>
    <col min="423" max="423" width="11.140625" style="10" hidden="1" customWidth="1"/>
    <col min="424" max="424" width="13.42578125" style="10" hidden="1" customWidth="1"/>
    <col min="425" max="425" width="12.140625" style="10" hidden="1" customWidth="1"/>
    <col min="426" max="426" width="12.42578125" style="10" hidden="1" customWidth="1"/>
    <col min="427" max="427" width="14.42578125" style="10" hidden="1" customWidth="1"/>
    <col min="428" max="428" width="12.5703125" style="10" hidden="1" customWidth="1"/>
    <col min="429" max="432" width="12.140625" style="10" hidden="1" customWidth="1"/>
    <col min="433" max="437" width="12.140625" style="7" hidden="1" customWidth="1"/>
    <col min="438" max="16384" width="8.85546875" style="7"/>
  </cols>
  <sheetData>
    <row r="1" spans="1:437" ht="30" customHeight="1" x14ac:dyDescent="0.2">
      <c r="A1" s="232"/>
      <c r="B1" s="285" t="s">
        <v>312</v>
      </c>
      <c r="C1" s="322" t="str">
        <f xml:space="preserve"> 'Analysis Info'!$D$3</f>
        <v>Model CAGE Nomenclature</v>
      </c>
      <c r="D1" s="323"/>
      <c r="E1" s="323"/>
      <c r="F1" s="324"/>
      <c r="G1" s="233"/>
      <c r="Z1" s="285" t="s">
        <v>65</v>
      </c>
      <c r="AA1" s="258">
        <v>0.02</v>
      </c>
      <c r="AB1" s="285" t="s">
        <v>329</v>
      </c>
      <c r="AC1" s="258">
        <v>0.85</v>
      </c>
      <c r="AF1" s="261"/>
    </row>
    <row r="2" spans="1:437" ht="30" customHeight="1" x14ac:dyDescent="0.2">
      <c r="B2" s="285" t="s">
        <v>311</v>
      </c>
      <c r="C2" s="325" t="s">
        <v>349</v>
      </c>
      <c r="D2" s="326"/>
      <c r="E2" s="326"/>
      <c r="F2" s="327"/>
      <c r="G2" s="233"/>
      <c r="Z2" s="285" t="s">
        <v>328</v>
      </c>
      <c r="AA2" s="258">
        <v>0.85</v>
      </c>
      <c r="AB2" s="328" t="s">
        <v>331</v>
      </c>
      <c r="AC2" s="329">
        <v>4</v>
      </c>
      <c r="AF2" s="262"/>
    </row>
    <row r="3" spans="1:437" s="6" customFormat="1" ht="30" customHeight="1" x14ac:dyDescent="0.2">
      <c r="A3" s="236"/>
      <c r="B3" s="286" t="s">
        <v>310</v>
      </c>
      <c r="C3" s="330">
        <v>39721</v>
      </c>
      <c r="D3" s="331"/>
      <c r="E3" s="331"/>
      <c r="F3" s="332"/>
      <c r="G3" s="237"/>
      <c r="H3" s="238"/>
      <c r="I3" s="238"/>
      <c r="J3" s="238"/>
      <c r="K3" s="238"/>
      <c r="L3" s="238"/>
      <c r="M3" s="238"/>
      <c r="N3" s="238"/>
      <c r="O3" s="238"/>
      <c r="P3" s="238"/>
      <c r="T3" s="238"/>
      <c r="Z3" s="286" t="s">
        <v>332</v>
      </c>
      <c r="AA3" s="259">
        <v>24</v>
      </c>
      <c r="AB3" s="291"/>
      <c r="AC3" s="329"/>
      <c r="AF3" s="263"/>
      <c r="AH3" s="235"/>
      <c r="EO3" s="169"/>
      <c r="EP3" s="169"/>
      <c r="EQ3" s="169"/>
      <c r="ER3" s="169"/>
      <c r="ES3" s="169"/>
      <c r="ET3" s="169"/>
      <c r="EU3" s="169"/>
      <c r="EV3" s="169"/>
      <c r="EW3" s="169"/>
      <c r="EX3" s="169"/>
      <c r="EY3" s="169"/>
      <c r="EZ3" s="169"/>
      <c r="FA3" s="169"/>
      <c r="FB3" s="169"/>
      <c r="FC3" s="169"/>
      <c r="FD3" s="169"/>
      <c r="FE3" s="169"/>
      <c r="FF3" s="169"/>
      <c r="FG3" s="169"/>
      <c r="FH3" s="169"/>
      <c r="FI3" s="169"/>
      <c r="FJ3" s="169"/>
      <c r="FK3" s="169"/>
      <c r="FL3" s="169"/>
      <c r="FM3" s="169"/>
      <c r="FN3" s="169"/>
      <c r="FO3" s="169"/>
      <c r="FP3" s="169"/>
      <c r="FQ3" s="169"/>
      <c r="FR3" s="169"/>
      <c r="FS3" s="169"/>
      <c r="FT3" s="169"/>
      <c r="FU3" s="169"/>
      <c r="FV3" s="169"/>
      <c r="FW3" s="169"/>
      <c r="FX3" s="169"/>
      <c r="FY3" s="169"/>
      <c r="FZ3" s="169"/>
      <c r="GA3" s="169"/>
      <c r="GB3" s="169"/>
      <c r="GJ3" s="169"/>
      <c r="GK3" s="169"/>
      <c r="GL3" s="169"/>
      <c r="GM3" s="169"/>
      <c r="GN3" s="169"/>
      <c r="GO3" s="169"/>
      <c r="GP3" s="169"/>
      <c r="GQ3" s="169"/>
      <c r="GR3" s="169"/>
      <c r="GS3" s="169"/>
      <c r="GZ3" s="169"/>
      <c r="HA3" s="169"/>
      <c r="HB3" s="169"/>
      <c r="HC3" s="169"/>
      <c r="HD3" s="169"/>
      <c r="HE3" s="169"/>
      <c r="HF3" s="169"/>
      <c r="HG3" s="169"/>
      <c r="HH3" s="169"/>
      <c r="HI3" s="169"/>
      <c r="HJ3" s="169"/>
      <c r="HK3" s="169"/>
      <c r="HL3" s="169"/>
      <c r="HM3" s="169"/>
      <c r="HN3" s="169"/>
      <c r="HO3" s="169"/>
      <c r="HP3" s="169"/>
      <c r="HQ3" s="169"/>
      <c r="HR3" s="169"/>
      <c r="HS3" s="169"/>
      <c r="HT3" s="169"/>
      <c r="HU3" s="169"/>
      <c r="HV3" s="169"/>
      <c r="HW3" s="169"/>
      <c r="HX3" s="169"/>
      <c r="HY3" s="169"/>
      <c r="HZ3" s="169"/>
      <c r="IA3" s="169"/>
      <c r="IB3" s="169"/>
      <c r="IC3" s="169"/>
      <c r="ID3" s="169"/>
      <c r="IE3" s="169"/>
      <c r="IF3" s="169"/>
      <c r="IG3" s="169"/>
      <c r="IH3" s="169"/>
      <c r="II3" s="169"/>
      <c r="IJ3" s="169"/>
      <c r="IK3" s="169"/>
      <c r="IL3" s="169"/>
      <c r="IM3" s="169"/>
      <c r="IN3" s="169"/>
      <c r="IO3" s="169"/>
      <c r="IP3" s="169"/>
      <c r="IQ3" s="169"/>
      <c r="IR3" s="169"/>
      <c r="IS3" s="169"/>
      <c r="IT3" s="169"/>
      <c r="IU3" s="169"/>
      <c r="IV3" s="169"/>
      <c r="IW3" s="169"/>
      <c r="IX3" s="169"/>
      <c r="IY3" s="169"/>
      <c r="IZ3" s="169"/>
      <c r="JA3" s="169"/>
      <c r="JB3" s="169"/>
      <c r="JC3" s="169"/>
      <c r="JD3" s="169"/>
      <c r="JE3" s="169"/>
      <c r="JF3" s="169"/>
      <c r="JG3" s="169"/>
      <c r="JH3" s="169"/>
      <c r="JI3" s="169"/>
      <c r="JJ3" s="169"/>
      <c r="JK3" s="169"/>
      <c r="JL3" s="169"/>
      <c r="JM3" s="169"/>
      <c r="JN3" s="169"/>
      <c r="JO3" s="169"/>
      <c r="JP3" s="169"/>
      <c r="JQ3" s="169"/>
      <c r="JR3" s="169"/>
      <c r="JS3" s="169"/>
      <c r="JT3" s="169"/>
      <c r="JU3" s="169"/>
      <c r="JV3" s="169"/>
      <c r="JW3" s="169"/>
      <c r="JX3" s="169"/>
      <c r="JY3" s="169"/>
      <c r="JZ3" s="169"/>
      <c r="KA3" s="169"/>
      <c r="KB3" s="169"/>
      <c r="KC3" s="169"/>
      <c r="KD3" s="169"/>
      <c r="KE3" s="169"/>
      <c r="KF3" s="169"/>
      <c r="KG3" s="169"/>
      <c r="KH3" s="169"/>
      <c r="KI3" s="169"/>
      <c r="KJ3" s="169"/>
      <c r="KK3" s="169"/>
      <c r="KL3" s="169"/>
      <c r="KM3" s="169"/>
      <c r="KN3" s="169"/>
      <c r="KO3" s="169"/>
      <c r="KP3" s="169"/>
      <c r="KQ3" s="169"/>
      <c r="KR3" s="169"/>
      <c r="KS3" s="169"/>
      <c r="KT3" s="169"/>
      <c r="KU3" s="169"/>
      <c r="KV3" s="169"/>
      <c r="KW3" s="169"/>
      <c r="KX3" s="169"/>
      <c r="KY3" s="169"/>
      <c r="KZ3" s="169"/>
      <c r="LA3" s="169"/>
      <c r="LB3" s="169"/>
      <c r="LC3" s="169"/>
      <c r="LD3" s="169"/>
      <c r="LE3" s="169"/>
      <c r="LF3" s="169"/>
      <c r="LG3" s="169"/>
      <c r="LH3" s="169"/>
      <c r="LI3" s="169"/>
      <c r="LJ3" s="169"/>
      <c r="LK3" s="169"/>
      <c r="LL3" s="169"/>
      <c r="LM3" s="169"/>
      <c r="LN3" s="169"/>
      <c r="LO3" s="169"/>
      <c r="LP3" s="169"/>
      <c r="LQ3" s="169"/>
      <c r="LR3" s="169"/>
      <c r="LS3" s="169"/>
      <c r="LT3" s="169"/>
      <c r="LU3" s="169"/>
      <c r="LV3" s="169"/>
      <c r="LW3" s="169"/>
      <c r="LX3" s="169"/>
      <c r="LY3" s="169"/>
      <c r="LZ3" s="169"/>
      <c r="MA3" s="169"/>
      <c r="MB3" s="169"/>
      <c r="MC3" s="169"/>
      <c r="MD3" s="169"/>
      <c r="ME3" s="169"/>
      <c r="MF3" s="169"/>
      <c r="MG3" s="169"/>
      <c r="MH3" s="169"/>
      <c r="MI3" s="169"/>
      <c r="MJ3" s="169"/>
      <c r="MK3" s="169"/>
      <c r="ML3" s="169"/>
      <c r="MM3" s="169"/>
      <c r="MN3" s="169"/>
      <c r="MO3" s="169"/>
      <c r="MP3" s="169"/>
      <c r="MQ3" s="169"/>
      <c r="MR3" s="169"/>
      <c r="MS3" s="169"/>
      <c r="MT3" s="169"/>
      <c r="MU3" s="169"/>
      <c r="MV3" s="169"/>
      <c r="MW3" s="169"/>
      <c r="MX3" s="169"/>
      <c r="MY3" s="169"/>
      <c r="MZ3" s="169"/>
      <c r="NA3" s="169"/>
      <c r="NB3" s="169"/>
      <c r="NC3" s="169"/>
      <c r="ND3" s="169"/>
      <c r="NE3" s="169"/>
      <c r="NF3" s="169"/>
      <c r="NG3" s="169"/>
      <c r="NH3" s="169"/>
      <c r="NI3" s="169"/>
      <c r="NJ3" s="169"/>
      <c r="NK3" s="169"/>
      <c r="NL3" s="169"/>
      <c r="NM3" s="169"/>
      <c r="NN3" s="169"/>
      <c r="NO3" s="169"/>
      <c r="NP3" s="169"/>
      <c r="NQ3" s="169"/>
      <c r="NR3" s="169"/>
      <c r="NS3" s="169"/>
      <c r="NT3" s="169"/>
      <c r="NU3" s="169"/>
      <c r="NV3" s="169"/>
      <c r="NW3" s="169"/>
      <c r="NX3" s="169"/>
      <c r="NY3" s="169"/>
      <c r="NZ3" s="169"/>
      <c r="OA3" s="169"/>
      <c r="OB3" s="169"/>
      <c r="OC3" s="169"/>
      <c r="OD3" s="169"/>
      <c r="OE3" s="169"/>
      <c r="OF3" s="169"/>
      <c r="OG3" s="169"/>
      <c r="OH3" s="169"/>
      <c r="OI3" s="169"/>
      <c r="OJ3" s="169"/>
      <c r="OK3" s="169"/>
      <c r="OL3" s="169"/>
      <c r="OM3" s="169"/>
      <c r="ON3" s="169"/>
      <c r="OO3" s="169"/>
      <c r="OP3" s="169"/>
      <c r="OQ3" s="169"/>
      <c r="OR3" s="169"/>
      <c r="OS3" s="169"/>
      <c r="OT3" s="169"/>
      <c r="OU3" s="169"/>
      <c r="OV3" s="169"/>
      <c r="OW3" s="169"/>
      <c r="OX3" s="169"/>
      <c r="OY3" s="169"/>
      <c r="OZ3" s="169"/>
      <c r="PA3" s="169"/>
      <c r="PC3" s="268"/>
      <c r="PD3" s="268"/>
      <c r="PE3" s="271"/>
      <c r="PF3" s="268"/>
      <c r="PG3" s="169"/>
      <c r="PH3" s="169"/>
      <c r="PI3" s="169"/>
      <c r="PJ3" s="169"/>
      <c r="PK3" s="169"/>
      <c r="PL3" s="169"/>
      <c r="PM3" s="169"/>
      <c r="PN3" s="169"/>
      <c r="PO3" s="169"/>
      <c r="PP3" s="169"/>
    </row>
    <row r="4" spans="1:437" s="6" customFormat="1" ht="69.95" customHeight="1" x14ac:dyDescent="0.2">
      <c r="A4" s="102" t="s">
        <v>315</v>
      </c>
      <c r="B4" s="239"/>
      <c r="C4" s="240"/>
      <c r="D4" s="238"/>
      <c r="E4" s="238"/>
      <c r="F4" s="238"/>
      <c r="G4" s="238"/>
      <c r="H4" s="238"/>
      <c r="I4" s="238"/>
      <c r="J4" s="238"/>
      <c r="K4" s="238"/>
      <c r="L4" s="238"/>
      <c r="M4" s="238"/>
      <c r="N4" s="238"/>
      <c r="O4" s="238"/>
      <c r="P4" s="238"/>
      <c r="T4" s="241" t="s">
        <v>93</v>
      </c>
      <c r="U4" s="197"/>
      <c r="X4" s="197"/>
      <c r="AF4" s="197"/>
      <c r="AH4" s="235"/>
      <c r="AI4" s="197" t="s">
        <v>76</v>
      </c>
      <c r="AP4" s="197"/>
      <c r="AW4" s="197"/>
      <c r="BD4" s="197"/>
      <c r="BK4" s="197" t="s">
        <v>76</v>
      </c>
      <c r="BR4" s="197"/>
      <c r="BY4" s="197" t="s">
        <v>76</v>
      </c>
      <c r="CF4" s="197"/>
      <c r="CM4" s="197" t="s">
        <v>76</v>
      </c>
      <c r="CT4" s="197"/>
      <c r="DA4" s="197" t="s">
        <v>76</v>
      </c>
      <c r="DH4" s="197"/>
      <c r="DO4" s="197" t="s">
        <v>76</v>
      </c>
      <c r="DV4" s="197"/>
      <c r="EC4" s="197"/>
      <c r="EO4" s="242" t="s">
        <v>132</v>
      </c>
      <c r="EP4" s="169"/>
      <c r="EQ4" s="169"/>
      <c r="ER4" s="169"/>
      <c r="ES4" s="169"/>
      <c r="ET4" s="169"/>
      <c r="EU4" s="169"/>
      <c r="EV4" s="169"/>
      <c r="EW4" s="169"/>
      <c r="EX4" s="169"/>
      <c r="EY4" s="169"/>
      <c r="EZ4" s="169"/>
      <c r="FA4" s="169"/>
      <c r="FB4" s="169"/>
      <c r="FC4" s="169"/>
      <c r="FD4" s="242" t="s">
        <v>133</v>
      </c>
      <c r="FE4" s="169"/>
      <c r="FF4" s="169"/>
      <c r="FG4" s="169"/>
      <c r="FH4" s="169"/>
      <c r="FI4" s="169"/>
      <c r="FJ4" s="169"/>
      <c r="FK4" s="169"/>
      <c r="FL4" s="169"/>
      <c r="FM4" s="169"/>
      <c r="FN4" s="169"/>
      <c r="FO4" s="169"/>
      <c r="FP4" s="169"/>
      <c r="FQ4" s="169"/>
      <c r="FR4" s="169"/>
      <c r="FS4" s="242" t="s">
        <v>140</v>
      </c>
      <c r="FT4" s="169"/>
      <c r="FU4" s="169"/>
      <c r="FV4" s="169"/>
      <c r="FW4" s="169"/>
      <c r="FX4" s="169"/>
      <c r="FY4" s="169"/>
      <c r="FZ4" s="169"/>
      <c r="GA4" s="169"/>
      <c r="GB4" s="169"/>
      <c r="GI4" s="242" t="s">
        <v>199</v>
      </c>
      <c r="GK4" s="169"/>
      <c r="GL4" s="169"/>
      <c r="GM4" s="169"/>
      <c r="GN4" s="169"/>
      <c r="GO4" s="169"/>
      <c r="GP4" s="169"/>
      <c r="GQ4" s="169"/>
      <c r="GR4" s="169"/>
      <c r="GS4" s="169"/>
      <c r="GZ4" s="242" t="s">
        <v>226</v>
      </c>
      <c r="HA4" s="242" t="s">
        <v>200</v>
      </c>
      <c r="HB4" s="169"/>
      <c r="HC4" s="169"/>
      <c r="HD4" s="169"/>
      <c r="HE4" s="169"/>
      <c r="HF4" s="169"/>
      <c r="HG4" s="169"/>
      <c r="HH4" s="169"/>
      <c r="HI4" s="169"/>
      <c r="HJ4" s="169"/>
      <c r="HK4" s="169"/>
      <c r="HL4" s="169"/>
      <c r="HM4" s="169"/>
      <c r="HN4" s="242" t="s">
        <v>227</v>
      </c>
      <c r="HO4" s="242" t="s">
        <v>200</v>
      </c>
      <c r="HP4" s="169"/>
      <c r="HQ4" s="169"/>
      <c r="HR4" s="169"/>
      <c r="HS4" s="169"/>
      <c r="HT4" s="169"/>
      <c r="HU4" s="169"/>
      <c r="HV4" s="169"/>
      <c r="HW4" s="169"/>
      <c r="HX4" s="169"/>
      <c r="HY4" s="169"/>
      <c r="HZ4" s="169"/>
      <c r="IA4" s="169"/>
      <c r="IB4" s="242" t="s">
        <v>228</v>
      </c>
      <c r="IC4" s="242" t="s">
        <v>200</v>
      </c>
      <c r="ID4" s="169"/>
      <c r="IE4" s="169"/>
      <c r="IF4" s="169"/>
      <c r="IG4" s="169"/>
      <c r="IH4" s="169"/>
      <c r="II4" s="169"/>
      <c r="IJ4" s="169"/>
      <c r="IK4" s="169"/>
      <c r="IL4" s="169"/>
      <c r="IM4" s="169"/>
      <c r="IN4" s="169"/>
      <c r="IO4" s="169"/>
      <c r="IP4" s="242" t="s">
        <v>229</v>
      </c>
      <c r="IQ4" s="242" t="s">
        <v>200</v>
      </c>
      <c r="IR4" s="169"/>
      <c r="IS4" s="169"/>
      <c r="IT4" s="169"/>
      <c r="IU4" s="169"/>
      <c r="IV4" s="169"/>
      <c r="IW4" s="169"/>
      <c r="IX4" s="169"/>
      <c r="IY4" s="169"/>
      <c r="IZ4" s="169"/>
      <c r="JA4" s="169"/>
      <c r="JB4" s="169"/>
      <c r="JC4" s="169"/>
      <c r="JD4" s="242" t="s">
        <v>230</v>
      </c>
      <c r="JE4" s="242" t="s">
        <v>200</v>
      </c>
      <c r="JF4" s="169"/>
      <c r="JG4" s="169"/>
      <c r="JH4" s="169"/>
      <c r="JI4" s="169"/>
      <c r="JJ4" s="169"/>
      <c r="JK4" s="169"/>
      <c r="JL4" s="169"/>
      <c r="JM4" s="169"/>
      <c r="JN4" s="169"/>
      <c r="JO4" s="169"/>
      <c r="JP4" s="169"/>
      <c r="JQ4" s="169"/>
      <c r="JR4" s="242" t="s">
        <v>231</v>
      </c>
      <c r="JS4" s="242" t="s">
        <v>200</v>
      </c>
      <c r="JT4" s="169"/>
      <c r="JU4" s="169"/>
      <c r="JV4" s="169"/>
      <c r="JW4" s="169"/>
      <c r="JX4" s="169"/>
      <c r="JY4" s="169"/>
      <c r="JZ4" s="169"/>
      <c r="KA4" s="169"/>
      <c r="KB4" s="169"/>
      <c r="KC4" s="169"/>
      <c r="KD4" s="169"/>
      <c r="KE4" s="169"/>
      <c r="KF4" s="242" t="s">
        <v>232</v>
      </c>
      <c r="KG4" s="242" t="s">
        <v>200</v>
      </c>
      <c r="KH4" s="169"/>
      <c r="KI4" s="169"/>
      <c r="KJ4" s="169"/>
      <c r="KK4" s="169"/>
      <c r="KL4" s="169"/>
      <c r="KM4" s="169"/>
      <c r="KN4" s="169"/>
      <c r="KO4" s="169"/>
      <c r="KP4" s="169"/>
      <c r="KQ4" s="169"/>
      <c r="KR4" s="169"/>
      <c r="KS4" s="169"/>
      <c r="KT4" s="242" t="s">
        <v>233</v>
      </c>
      <c r="KU4" s="242" t="s">
        <v>200</v>
      </c>
      <c r="KV4" s="169"/>
      <c r="KW4" s="169"/>
      <c r="KX4" s="169"/>
      <c r="KY4" s="169"/>
      <c r="KZ4" s="169"/>
      <c r="LA4" s="169"/>
      <c r="LB4" s="169"/>
      <c r="LC4" s="169"/>
      <c r="LD4" s="169"/>
      <c r="LE4" s="169"/>
      <c r="LF4" s="169"/>
      <c r="LG4" s="169"/>
      <c r="LH4" s="242" t="s">
        <v>234</v>
      </c>
      <c r="LI4" s="242" t="s">
        <v>200</v>
      </c>
      <c r="LJ4" s="169"/>
      <c r="LK4" s="169"/>
      <c r="LL4" s="169"/>
      <c r="LM4" s="169"/>
      <c r="LN4" s="169"/>
      <c r="LO4" s="169"/>
      <c r="LP4" s="169"/>
      <c r="LQ4" s="169"/>
      <c r="LR4" s="169"/>
      <c r="LS4" s="169"/>
      <c r="LT4" s="169"/>
      <c r="LU4" s="169"/>
      <c r="LV4" s="242" t="s">
        <v>235</v>
      </c>
      <c r="LW4" s="242" t="s">
        <v>200</v>
      </c>
      <c r="LX4" s="169"/>
      <c r="LY4" s="169"/>
      <c r="LZ4" s="169"/>
      <c r="MA4" s="169"/>
      <c r="MB4" s="169"/>
      <c r="MC4" s="169"/>
      <c r="MD4" s="169"/>
      <c r="ME4" s="169"/>
      <c r="MF4" s="169"/>
      <c r="MG4" s="169"/>
      <c r="MH4" s="169"/>
      <c r="MI4" s="169"/>
      <c r="MJ4" s="242" t="s">
        <v>236</v>
      </c>
      <c r="MK4" s="242" t="s">
        <v>200</v>
      </c>
      <c r="ML4" s="169"/>
      <c r="MM4" s="169"/>
      <c r="MN4" s="169"/>
      <c r="MO4" s="169"/>
      <c r="MP4" s="169"/>
      <c r="MQ4" s="169"/>
      <c r="MR4" s="169"/>
      <c r="MS4" s="169"/>
      <c r="MT4" s="169"/>
      <c r="MU4" s="169"/>
      <c r="MV4" s="169"/>
      <c r="MW4" s="169"/>
      <c r="MX4" s="242" t="s">
        <v>237</v>
      </c>
      <c r="MY4" s="242" t="s">
        <v>200</v>
      </c>
      <c r="MZ4" s="169"/>
      <c r="NA4" s="169"/>
      <c r="NB4" s="169"/>
      <c r="NC4" s="169"/>
      <c r="ND4" s="169"/>
      <c r="NE4" s="169"/>
      <c r="NF4" s="169"/>
      <c r="NG4" s="169"/>
      <c r="NH4" s="169"/>
      <c r="NI4" s="169"/>
      <c r="NJ4" s="169"/>
      <c r="NK4" s="169"/>
      <c r="NL4" s="242" t="s">
        <v>238</v>
      </c>
      <c r="NM4" s="242" t="s">
        <v>200</v>
      </c>
      <c r="NN4" s="169"/>
      <c r="NO4" s="169"/>
      <c r="NP4" s="169"/>
      <c r="NQ4" s="169"/>
      <c r="NR4" s="169"/>
      <c r="NS4" s="169"/>
      <c r="NT4" s="169"/>
      <c r="NU4" s="169"/>
      <c r="NV4" s="169"/>
      <c r="NW4" s="169"/>
      <c r="NX4" s="169"/>
      <c r="NY4" s="169"/>
      <c r="NZ4" s="242" t="s">
        <v>239</v>
      </c>
      <c r="OA4" s="242" t="s">
        <v>200</v>
      </c>
      <c r="OB4" s="169"/>
      <c r="OC4" s="169"/>
      <c r="OD4" s="169"/>
      <c r="OE4" s="169"/>
      <c r="OF4" s="169"/>
      <c r="OG4" s="169"/>
      <c r="OH4" s="169"/>
      <c r="OI4" s="169"/>
      <c r="OJ4" s="169"/>
      <c r="OK4" s="169"/>
      <c r="OL4" s="169"/>
      <c r="OM4" s="169"/>
      <c r="ON4" s="242" t="s">
        <v>240</v>
      </c>
      <c r="OO4" s="242" t="s">
        <v>200</v>
      </c>
      <c r="OP4" s="169"/>
      <c r="OQ4" s="169"/>
      <c r="OR4" s="169"/>
      <c r="OS4" s="169"/>
      <c r="OT4" s="169"/>
      <c r="OU4" s="169"/>
      <c r="OV4" s="169"/>
      <c r="OW4" s="169"/>
      <c r="OX4" s="169"/>
      <c r="OY4" s="169"/>
      <c r="OZ4" s="169"/>
      <c r="PA4" s="169"/>
      <c r="PC4" s="269" t="s">
        <v>341</v>
      </c>
      <c r="PD4" s="268"/>
      <c r="PE4" s="271"/>
      <c r="PF4" s="268"/>
      <c r="PG4" s="242" t="s">
        <v>344</v>
      </c>
      <c r="PH4" s="169"/>
      <c r="PI4" s="169"/>
      <c r="PJ4" s="169"/>
      <c r="PK4" s="169"/>
      <c r="PL4" s="169"/>
      <c r="PM4" s="169"/>
      <c r="PN4" s="169"/>
      <c r="PO4" s="169"/>
      <c r="PP4" s="169"/>
    </row>
    <row r="5" spans="1:437" s="243" customFormat="1" ht="46.35" customHeight="1" x14ac:dyDescent="0.2">
      <c r="B5" s="244" t="s">
        <v>68</v>
      </c>
      <c r="C5" s="244" t="s">
        <v>309</v>
      </c>
      <c r="D5" s="244" t="s">
        <v>44</v>
      </c>
      <c r="E5" s="245" t="s">
        <v>74</v>
      </c>
      <c r="F5" s="245" t="s">
        <v>75</v>
      </c>
      <c r="G5" s="244" t="s">
        <v>45</v>
      </c>
      <c r="H5" s="244" t="s">
        <v>46</v>
      </c>
      <c r="I5" s="244" t="s">
        <v>61</v>
      </c>
      <c r="J5" s="245" t="s">
        <v>71</v>
      </c>
      <c r="K5" s="245" t="s">
        <v>72</v>
      </c>
      <c r="L5" s="244" t="s">
        <v>314</v>
      </c>
      <c r="M5" s="245" t="s">
        <v>318</v>
      </c>
      <c r="N5" s="245" t="s">
        <v>319</v>
      </c>
      <c r="O5" s="246" t="s">
        <v>258</v>
      </c>
      <c r="P5" s="245" t="s">
        <v>259</v>
      </c>
      <c r="Q5" s="247" t="s">
        <v>131</v>
      </c>
      <c r="R5" s="248" t="s">
        <v>62</v>
      </c>
      <c r="S5" s="6"/>
      <c r="T5" s="245" t="s">
        <v>95</v>
      </c>
      <c r="U5" s="245" t="s">
        <v>96</v>
      </c>
      <c r="V5" s="245" t="s">
        <v>179</v>
      </c>
      <c r="W5" s="249"/>
      <c r="X5" s="250" t="s">
        <v>63</v>
      </c>
      <c r="Y5" s="250" t="s">
        <v>64</v>
      </c>
      <c r="Z5" s="248" t="s">
        <v>66</v>
      </c>
      <c r="AA5" s="248" t="s">
        <v>67</v>
      </c>
      <c r="AB5" s="248" t="s">
        <v>333</v>
      </c>
      <c r="AC5" s="250" t="s">
        <v>138</v>
      </c>
      <c r="AD5" s="250" t="s">
        <v>139</v>
      </c>
      <c r="AE5" s="250" t="s">
        <v>325</v>
      </c>
      <c r="AF5" s="250" t="s">
        <v>326</v>
      </c>
      <c r="AG5" s="250" t="s">
        <v>330</v>
      </c>
      <c r="AH5" s="245" t="s">
        <v>308</v>
      </c>
      <c r="AI5" s="244" t="s">
        <v>86</v>
      </c>
      <c r="AJ5" s="251" t="s">
        <v>87</v>
      </c>
      <c r="AK5" s="252" t="s">
        <v>88</v>
      </c>
      <c r="AL5" s="252" t="s">
        <v>89</v>
      </c>
      <c r="AM5" s="252" t="s">
        <v>90</v>
      </c>
      <c r="AN5" s="252" t="s">
        <v>91</v>
      </c>
      <c r="AO5" s="252" t="s">
        <v>19</v>
      </c>
      <c r="AP5" s="244" t="s">
        <v>86</v>
      </c>
      <c r="AQ5" s="251" t="s">
        <v>87</v>
      </c>
      <c r="AR5" s="252" t="s">
        <v>88</v>
      </c>
      <c r="AS5" s="252" t="s">
        <v>89</v>
      </c>
      <c r="AT5" s="252" t="s">
        <v>90</v>
      </c>
      <c r="AU5" s="252" t="s">
        <v>91</v>
      </c>
      <c r="AV5" s="252" t="s">
        <v>19</v>
      </c>
      <c r="AW5" s="244" t="s">
        <v>86</v>
      </c>
      <c r="AX5" s="251" t="s">
        <v>87</v>
      </c>
      <c r="AY5" s="252" t="s">
        <v>88</v>
      </c>
      <c r="AZ5" s="252" t="s">
        <v>89</v>
      </c>
      <c r="BA5" s="252" t="s">
        <v>90</v>
      </c>
      <c r="BB5" s="252" t="s">
        <v>91</v>
      </c>
      <c r="BC5" s="252" t="s">
        <v>19</v>
      </c>
      <c r="BD5" s="244" t="s">
        <v>86</v>
      </c>
      <c r="BE5" s="251" t="s">
        <v>87</v>
      </c>
      <c r="BF5" s="252" t="s">
        <v>88</v>
      </c>
      <c r="BG5" s="252" t="s">
        <v>89</v>
      </c>
      <c r="BH5" s="252" t="s">
        <v>90</v>
      </c>
      <c r="BI5" s="252" t="s">
        <v>91</v>
      </c>
      <c r="BJ5" s="252" t="s">
        <v>19</v>
      </c>
      <c r="BK5" s="244" t="s">
        <v>86</v>
      </c>
      <c r="BL5" s="251" t="s">
        <v>87</v>
      </c>
      <c r="BM5" s="252" t="s">
        <v>88</v>
      </c>
      <c r="BN5" s="252" t="s">
        <v>89</v>
      </c>
      <c r="BO5" s="252" t="s">
        <v>90</v>
      </c>
      <c r="BP5" s="252" t="s">
        <v>91</v>
      </c>
      <c r="BQ5" s="252" t="s">
        <v>19</v>
      </c>
      <c r="BR5" s="244" t="s">
        <v>86</v>
      </c>
      <c r="BS5" s="251" t="s">
        <v>87</v>
      </c>
      <c r="BT5" s="252" t="s">
        <v>88</v>
      </c>
      <c r="BU5" s="252" t="s">
        <v>89</v>
      </c>
      <c r="BV5" s="252" t="s">
        <v>90</v>
      </c>
      <c r="BW5" s="252" t="s">
        <v>91</v>
      </c>
      <c r="BX5" s="252" t="s">
        <v>19</v>
      </c>
      <c r="BY5" s="244" t="s">
        <v>86</v>
      </c>
      <c r="BZ5" s="251" t="s">
        <v>87</v>
      </c>
      <c r="CA5" s="252" t="s">
        <v>88</v>
      </c>
      <c r="CB5" s="252" t="s">
        <v>89</v>
      </c>
      <c r="CC5" s="252" t="s">
        <v>90</v>
      </c>
      <c r="CD5" s="252" t="s">
        <v>91</v>
      </c>
      <c r="CE5" s="252" t="s">
        <v>19</v>
      </c>
      <c r="CF5" s="244" t="s">
        <v>86</v>
      </c>
      <c r="CG5" s="251" t="s">
        <v>87</v>
      </c>
      <c r="CH5" s="252" t="s">
        <v>88</v>
      </c>
      <c r="CI5" s="252" t="s">
        <v>89</v>
      </c>
      <c r="CJ5" s="252" t="s">
        <v>90</v>
      </c>
      <c r="CK5" s="252" t="s">
        <v>91</v>
      </c>
      <c r="CL5" s="252" t="s">
        <v>19</v>
      </c>
      <c r="CM5" s="244" t="s">
        <v>86</v>
      </c>
      <c r="CN5" s="251" t="s">
        <v>87</v>
      </c>
      <c r="CO5" s="252" t="s">
        <v>88</v>
      </c>
      <c r="CP5" s="252" t="s">
        <v>89</v>
      </c>
      <c r="CQ5" s="252" t="s">
        <v>90</v>
      </c>
      <c r="CR5" s="252" t="s">
        <v>91</v>
      </c>
      <c r="CS5" s="252" t="s">
        <v>19</v>
      </c>
      <c r="CT5" s="244" t="s">
        <v>86</v>
      </c>
      <c r="CU5" s="251" t="s">
        <v>87</v>
      </c>
      <c r="CV5" s="252" t="s">
        <v>88</v>
      </c>
      <c r="CW5" s="252" t="s">
        <v>89</v>
      </c>
      <c r="CX5" s="252" t="s">
        <v>90</v>
      </c>
      <c r="CY5" s="252" t="s">
        <v>91</v>
      </c>
      <c r="CZ5" s="252" t="s">
        <v>19</v>
      </c>
      <c r="DA5" s="244" t="s">
        <v>86</v>
      </c>
      <c r="DB5" s="251" t="s">
        <v>87</v>
      </c>
      <c r="DC5" s="252" t="s">
        <v>88</v>
      </c>
      <c r="DD5" s="252" t="s">
        <v>89</v>
      </c>
      <c r="DE5" s="252" t="s">
        <v>90</v>
      </c>
      <c r="DF5" s="252" t="s">
        <v>91</v>
      </c>
      <c r="DG5" s="252" t="s">
        <v>19</v>
      </c>
      <c r="DH5" s="244" t="s">
        <v>86</v>
      </c>
      <c r="DI5" s="251" t="s">
        <v>87</v>
      </c>
      <c r="DJ5" s="252" t="s">
        <v>88</v>
      </c>
      <c r="DK5" s="252" t="s">
        <v>89</v>
      </c>
      <c r="DL5" s="252" t="s">
        <v>90</v>
      </c>
      <c r="DM5" s="252" t="s">
        <v>91</v>
      </c>
      <c r="DN5" s="252" t="s">
        <v>19</v>
      </c>
      <c r="DO5" s="244" t="s">
        <v>86</v>
      </c>
      <c r="DP5" s="251" t="s">
        <v>87</v>
      </c>
      <c r="DQ5" s="252" t="s">
        <v>88</v>
      </c>
      <c r="DR5" s="252" t="s">
        <v>89</v>
      </c>
      <c r="DS5" s="252" t="s">
        <v>90</v>
      </c>
      <c r="DT5" s="252" t="s">
        <v>91</v>
      </c>
      <c r="DU5" s="252" t="s">
        <v>19</v>
      </c>
      <c r="DV5" s="244" t="s">
        <v>86</v>
      </c>
      <c r="DW5" s="251" t="s">
        <v>87</v>
      </c>
      <c r="DX5" s="252" t="s">
        <v>88</v>
      </c>
      <c r="DY5" s="252" t="s">
        <v>89</v>
      </c>
      <c r="DZ5" s="252" t="s">
        <v>90</v>
      </c>
      <c r="EA5" s="252" t="s">
        <v>91</v>
      </c>
      <c r="EB5" s="252" t="s">
        <v>19</v>
      </c>
      <c r="EC5" s="244" t="s">
        <v>86</v>
      </c>
      <c r="ED5" s="251" t="s">
        <v>87</v>
      </c>
      <c r="EE5" s="252" t="s">
        <v>88</v>
      </c>
      <c r="EF5" s="252" t="s">
        <v>89</v>
      </c>
      <c r="EG5" s="252" t="s">
        <v>90</v>
      </c>
      <c r="EH5" s="252" t="s">
        <v>91</v>
      </c>
      <c r="EI5" s="252" t="s">
        <v>19</v>
      </c>
      <c r="EJ5" s="252" t="s">
        <v>94</v>
      </c>
      <c r="EK5" s="252" t="s">
        <v>186</v>
      </c>
      <c r="EL5" s="252" t="s">
        <v>187</v>
      </c>
      <c r="EM5" s="252" t="s">
        <v>135</v>
      </c>
      <c r="EO5" s="245" t="s">
        <v>73</v>
      </c>
      <c r="EP5" s="245" t="s">
        <v>48</v>
      </c>
      <c r="EQ5" s="245" t="s">
        <v>49</v>
      </c>
      <c r="ER5" s="245" t="s">
        <v>47</v>
      </c>
      <c r="ES5" s="245" t="s">
        <v>50</v>
      </c>
      <c r="ET5" s="245" t="s">
        <v>51</v>
      </c>
      <c r="EU5" s="244" t="s">
        <v>52</v>
      </c>
      <c r="EV5" s="245" t="s">
        <v>175</v>
      </c>
      <c r="EW5" s="245" t="s">
        <v>176</v>
      </c>
      <c r="EX5" s="245" t="s">
        <v>177</v>
      </c>
      <c r="EY5" s="244" t="s">
        <v>193</v>
      </c>
      <c r="EZ5" s="245" t="s">
        <v>194</v>
      </c>
      <c r="FA5" s="245" t="s">
        <v>192</v>
      </c>
      <c r="FB5" s="245" t="s">
        <v>195</v>
      </c>
      <c r="FC5" s="245" t="s">
        <v>305</v>
      </c>
      <c r="FD5" s="245" t="s">
        <v>73</v>
      </c>
      <c r="FE5" s="245" t="s">
        <v>48</v>
      </c>
      <c r="FF5" s="245" t="s">
        <v>49</v>
      </c>
      <c r="FG5" s="245" t="s">
        <v>47</v>
      </c>
      <c r="FH5" s="245" t="s">
        <v>50</v>
      </c>
      <c r="FI5" s="245" t="s">
        <v>51</v>
      </c>
      <c r="FJ5" s="244" t="s">
        <v>52</v>
      </c>
      <c r="FK5" s="245" t="s">
        <v>175</v>
      </c>
      <c r="FL5" s="245" t="s">
        <v>176</v>
      </c>
      <c r="FM5" s="245" t="s">
        <v>177</v>
      </c>
      <c r="FN5" s="244" t="s">
        <v>193</v>
      </c>
      <c r="FO5" s="245" t="s">
        <v>194</v>
      </c>
      <c r="FP5" s="245" t="s">
        <v>192</v>
      </c>
      <c r="FQ5" s="245" t="s">
        <v>195</v>
      </c>
      <c r="FR5" s="245" t="s">
        <v>305</v>
      </c>
      <c r="FS5" s="245" t="s">
        <v>149</v>
      </c>
      <c r="FT5" s="245" t="s">
        <v>150</v>
      </c>
      <c r="FU5" s="245" t="s">
        <v>151</v>
      </c>
      <c r="FV5" s="245" t="s">
        <v>152</v>
      </c>
      <c r="FW5" s="245" t="s">
        <v>153</v>
      </c>
      <c r="FX5" s="245" t="s">
        <v>154</v>
      </c>
      <c r="FY5" s="245" t="s">
        <v>155</v>
      </c>
      <c r="FZ5" s="245" t="s">
        <v>156</v>
      </c>
      <c r="GA5" s="245" t="s">
        <v>157</v>
      </c>
      <c r="GB5" s="245" t="s">
        <v>158</v>
      </c>
      <c r="GC5" s="245" t="s">
        <v>167</v>
      </c>
      <c r="GD5" s="245" t="s">
        <v>168</v>
      </c>
      <c r="GE5" s="245" t="s">
        <v>169</v>
      </c>
      <c r="GF5" s="245" t="s">
        <v>170</v>
      </c>
      <c r="GG5" s="245" t="s">
        <v>171</v>
      </c>
      <c r="GI5" s="245" t="s">
        <v>216</v>
      </c>
      <c r="GJ5" s="245" t="s">
        <v>201</v>
      </c>
      <c r="GK5" s="245" t="s">
        <v>202</v>
      </c>
      <c r="GL5" s="245" t="s">
        <v>203</v>
      </c>
      <c r="GM5" s="245" t="s">
        <v>204</v>
      </c>
      <c r="GN5" s="245" t="s">
        <v>205</v>
      </c>
      <c r="GO5" s="245" t="s">
        <v>206</v>
      </c>
      <c r="GP5" s="245" t="s">
        <v>207</v>
      </c>
      <c r="GQ5" s="245" t="s">
        <v>208</v>
      </c>
      <c r="GR5" s="245" t="s">
        <v>209</v>
      </c>
      <c r="GS5" s="245" t="s">
        <v>210</v>
      </c>
      <c r="GT5" s="245" t="s">
        <v>211</v>
      </c>
      <c r="GU5" s="245" t="s">
        <v>212</v>
      </c>
      <c r="GV5" s="245" t="s">
        <v>213</v>
      </c>
      <c r="GW5" s="245" t="s">
        <v>214</v>
      </c>
      <c r="GX5" s="245" t="s">
        <v>215</v>
      </c>
      <c r="GZ5" s="245" t="s">
        <v>73</v>
      </c>
      <c r="HA5" s="245" t="s">
        <v>48</v>
      </c>
      <c r="HB5" s="245" t="s">
        <v>49</v>
      </c>
      <c r="HC5" s="245" t="s">
        <v>47</v>
      </c>
      <c r="HD5" s="245" t="s">
        <v>50</v>
      </c>
      <c r="HE5" s="245" t="s">
        <v>51</v>
      </c>
      <c r="HF5" s="244" t="s">
        <v>52</v>
      </c>
      <c r="HG5" s="245" t="s">
        <v>175</v>
      </c>
      <c r="HH5" s="245" t="s">
        <v>176</v>
      </c>
      <c r="HI5" s="245" t="s">
        <v>177</v>
      </c>
      <c r="HJ5" s="244" t="s">
        <v>193</v>
      </c>
      <c r="HK5" s="245" t="s">
        <v>194</v>
      </c>
      <c r="HL5" s="245" t="s">
        <v>192</v>
      </c>
      <c r="HM5" s="245" t="s">
        <v>195</v>
      </c>
      <c r="HN5" s="245" t="s">
        <v>73</v>
      </c>
      <c r="HO5" s="245" t="s">
        <v>48</v>
      </c>
      <c r="HP5" s="245" t="s">
        <v>49</v>
      </c>
      <c r="HQ5" s="245" t="s">
        <v>47</v>
      </c>
      <c r="HR5" s="245" t="s">
        <v>50</v>
      </c>
      <c r="HS5" s="245" t="s">
        <v>51</v>
      </c>
      <c r="HT5" s="244" t="s">
        <v>52</v>
      </c>
      <c r="HU5" s="245" t="s">
        <v>175</v>
      </c>
      <c r="HV5" s="245" t="s">
        <v>176</v>
      </c>
      <c r="HW5" s="245" t="s">
        <v>177</v>
      </c>
      <c r="HX5" s="244" t="s">
        <v>193</v>
      </c>
      <c r="HY5" s="245" t="s">
        <v>194</v>
      </c>
      <c r="HZ5" s="245" t="s">
        <v>192</v>
      </c>
      <c r="IA5" s="245" t="s">
        <v>195</v>
      </c>
      <c r="IB5" s="245" t="s">
        <v>73</v>
      </c>
      <c r="IC5" s="245" t="s">
        <v>48</v>
      </c>
      <c r="ID5" s="245" t="s">
        <v>49</v>
      </c>
      <c r="IE5" s="245" t="s">
        <v>47</v>
      </c>
      <c r="IF5" s="245" t="s">
        <v>50</v>
      </c>
      <c r="IG5" s="245" t="s">
        <v>51</v>
      </c>
      <c r="IH5" s="244" t="s">
        <v>52</v>
      </c>
      <c r="II5" s="245" t="s">
        <v>175</v>
      </c>
      <c r="IJ5" s="245" t="s">
        <v>176</v>
      </c>
      <c r="IK5" s="245" t="s">
        <v>177</v>
      </c>
      <c r="IL5" s="244" t="s">
        <v>193</v>
      </c>
      <c r="IM5" s="245" t="s">
        <v>194</v>
      </c>
      <c r="IN5" s="245" t="s">
        <v>192</v>
      </c>
      <c r="IO5" s="245" t="s">
        <v>195</v>
      </c>
      <c r="IP5" s="245" t="s">
        <v>73</v>
      </c>
      <c r="IQ5" s="245" t="s">
        <v>48</v>
      </c>
      <c r="IR5" s="245" t="s">
        <v>49</v>
      </c>
      <c r="IS5" s="245" t="s">
        <v>47</v>
      </c>
      <c r="IT5" s="245" t="s">
        <v>50</v>
      </c>
      <c r="IU5" s="245" t="s">
        <v>51</v>
      </c>
      <c r="IV5" s="244" t="s">
        <v>52</v>
      </c>
      <c r="IW5" s="245" t="s">
        <v>175</v>
      </c>
      <c r="IX5" s="245" t="s">
        <v>176</v>
      </c>
      <c r="IY5" s="245" t="s">
        <v>177</v>
      </c>
      <c r="IZ5" s="244" t="s">
        <v>193</v>
      </c>
      <c r="JA5" s="245" t="s">
        <v>194</v>
      </c>
      <c r="JB5" s="245" t="s">
        <v>192</v>
      </c>
      <c r="JC5" s="245" t="s">
        <v>195</v>
      </c>
      <c r="JD5" s="245" t="s">
        <v>73</v>
      </c>
      <c r="JE5" s="245" t="s">
        <v>48</v>
      </c>
      <c r="JF5" s="245" t="s">
        <v>49</v>
      </c>
      <c r="JG5" s="245" t="s">
        <v>47</v>
      </c>
      <c r="JH5" s="245" t="s">
        <v>50</v>
      </c>
      <c r="JI5" s="245" t="s">
        <v>51</v>
      </c>
      <c r="JJ5" s="244" t="s">
        <v>52</v>
      </c>
      <c r="JK5" s="245" t="s">
        <v>175</v>
      </c>
      <c r="JL5" s="245" t="s">
        <v>176</v>
      </c>
      <c r="JM5" s="245" t="s">
        <v>177</v>
      </c>
      <c r="JN5" s="244" t="s">
        <v>193</v>
      </c>
      <c r="JO5" s="245" t="s">
        <v>194</v>
      </c>
      <c r="JP5" s="245" t="s">
        <v>192</v>
      </c>
      <c r="JQ5" s="245" t="s">
        <v>195</v>
      </c>
      <c r="JR5" s="245" t="s">
        <v>73</v>
      </c>
      <c r="JS5" s="245" t="s">
        <v>48</v>
      </c>
      <c r="JT5" s="245" t="s">
        <v>49</v>
      </c>
      <c r="JU5" s="245" t="s">
        <v>47</v>
      </c>
      <c r="JV5" s="245" t="s">
        <v>50</v>
      </c>
      <c r="JW5" s="245" t="s">
        <v>51</v>
      </c>
      <c r="JX5" s="244" t="s">
        <v>52</v>
      </c>
      <c r="JY5" s="245" t="s">
        <v>175</v>
      </c>
      <c r="JZ5" s="245" t="s">
        <v>176</v>
      </c>
      <c r="KA5" s="245" t="s">
        <v>177</v>
      </c>
      <c r="KB5" s="244" t="s">
        <v>193</v>
      </c>
      <c r="KC5" s="245" t="s">
        <v>194</v>
      </c>
      <c r="KD5" s="245" t="s">
        <v>192</v>
      </c>
      <c r="KE5" s="245" t="s">
        <v>195</v>
      </c>
      <c r="KF5" s="245" t="s">
        <v>73</v>
      </c>
      <c r="KG5" s="245" t="s">
        <v>48</v>
      </c>
      <c r="KH5" s="245" t="s">
        <v>49</v>
      </c>
      <c r="KI5" s="245" t="s">
        <v>47</v>
      </c>
      <c r="KJ5" s="245" t="s">
        <v>50</v>
      </c>
      <c r="KK5" s="245" t="s">
        <v>51</v>
      </c>
      <c r="KL5" s="244" t="s">
        <v>52</v>
      </c>
      <c r="KM5" s="245" t="s">
        <v>175</v>
      </c>
      <c r="KN5" s="245" t="s">
        <v>176</v>
      </c>
      <c r="KO5" s="245" t="s">
        <v>177</v>
      </c>
      <c r="KP5" s="244" t="s">
        <v>193</v>
      </c>
      <c r="KQ5" s="245" t="s">
        <v>194</v>
      </c>
      <c r="KR5" s="245" t="s">
        <v>192</v>
      </c>
      <c r="KS5" s="245" t="s">
        <v>195</v>
      </c>
      <c r="KT5" s="245" t="s">
        <v>73</v>
      </c>
      <c r="KU5" s="245" t="s">
        <v>48</v>
      </c>
      <c r="KV5" s="245" t="s">
        <v>49</v>
      </c>
      <c r="KW5" s="245" t="s">
        <v>47</v>
      </c>
      <c r="KX5" s="245" t="s">
        <v>50</v>
      </c>
      <c r="KY5" s="245" t="s">
        <v>51</v>
      </c>
      <c r="KZ5" s="244" t="s">
        <v>52</v>
      </c>
      <c r="LA5" s="245" t="s">
        <v>175</v>
      </c>
      <c r="LB5" s="245" t="s">
        <v>176</v>
      </c>
      <c r="LC5" s="245" t="s">
        <v>177</v>
      </c>
      <c r="LD5" s="244" t="s">
        <v>193</v>
      </c>
      <c r="LE5" s="245" t="s">
        <v>194</v>
      </c>
      <c r="LF5" s="245" t="s">
        <v>192</v>
      </c>
      <c r="LG5" s="245" t="s">
        <v>195</v>
      </c>
      <c r="LH5" s="245" t="s">
        <v>73</v>
      </c>
      <c r="LI5" s="245" t="s">
        <v>48</v>
      </c>
      <c r="LJ5" s="245" t="s">
        <v>49</v>
      </c>
      <c r="LK5" s="245" t="s">
        <v>47</v>
      </c>
      <c r="LL5" s="245" t="s">
        <v>50</v>
      </c>
      <c r="LM5" s="245" t="s">
        <v>51</v>
      </c>
      <c r="LN5" s="244" t="s">
        <v>52</v>
      </c>
      <c r="LO5" s="245" t="s">
        <v>175</v>
      </c>
      <c r="LP5" s="245" t="s">
        <v>176</v>
      </c>
      <c r="LQ5" s="245" t="s">
        <v>177</v>
      </c>
      <c r="LR5" s="244" t="s">
        <v>193</v>
      </c>
      <c r="LS5" s="245" t="s">
        <v>194</v>
      </c>
      <c r="LT5" s="245" t="s">
        <v>192</v>
      </c>
      <c r="LU5" s="245" t="s">
        <v>195</v>
      </c>
      <c r="LV5" s="245" t="s">
        <v>73</v>
      </c>
      <c r="LW5" s="245" t="s">
        <v>48</v>
      </c>
      <c r="LX5" s="245" t="s">
        <v>49</v>
      </c>
      <c r="LY5" s="245" t="s">
        <v>47</v>
      </c>
      <c r="LZ5" s="245" t="s">
        <v>50</v>
      </c>
      <c r="MA5" s="245" t="s">
        <v>51</v>
      </c>
      <c r="MB5" s="244" t="s">
        <v>52</v>
      </c>
      <c r="MC5" s="245" t="s">
        <v>175</v>
      </c>
      <c r="MD5" s="245" t="s">
        <v>176</v>
      </c>
      <c r="ME5" s="245" t="s">
        <v>177</v>
      </c>
      <c r="MF5" s="244" t="s">
        <v>193</v>
      </c>
      <c r="MG5" s="245" t="s">
        <v>194</v>
      </c>
      <c r="MH5" s="245" t="s">
        <v>192</v>
      </c>
      <c r="MI5" s="245" t="s">
        <v>195</v>
      </c>
      <c r="MJ5" s="245" t="s">
        <v>73</v>
      </c>
      <c r="MK5" s="245" t="s">
        <v>48</v>
      </c>
      <c r="ML5" s="245" t="s">
        <v>49</v>
      </c>
      <c r="MM5" s="245" t="s">
        <v>47</v>
      </c>
      <c r="MN5" s="245" t="s">
        <v>50</v>
      </c>
      <c r="MO5" s="245" t="s">
        <v>51</v>
      </c>
      <c r="MP5" s="244" t="s">
        <v>52</v>
      </c>
      <c r="MQ5" s="245" t="s">
        <v>175</v>
      </c>
      <c r="MR5" s="245" t="s">
        <v>176</v>
      </c>
      <c r="MS5" s="245" t="s">
        <v>177</v>
      </c>
      <c r="MT5" s="244" t="s">
        <v>193</v>
      </c>
      <c r="MU5" s="245" t="s">
        <v>194</v>
      </c>
      <c r="MV5" s="245" t="s">
        <v>192</v>
      </c>
      <c r="MW5" s="245" t="s">
        <v>195</v>
      </c>
      <c r="MX5" s="245" t="s">
        <v>73</v>
      </c>
      <c r="MY5" s="245" t="s">
        <v>48</v>
      </c>
      <c r="MZ5" s="245" t="s">
        <v>49</v>
      </c>
      <c r="NA5" s="245" t="s">
        <v>47</v>
      </c>
      <c r="NB5" s="245" t="s">
        <v>50</v>
      </c>
      <c r="NC5" s="245" t="s">
        <v>51</v>
      </c>
      <c r="ND5" s="244" t="s">
        <v>52</v>
      </c>
      <c r="NE5" s="245" t="s">
        <v>175</v>
      </c>
      <c r="NF5" s="245" t="s">
        <v>176</v>
      </c>
      <c r="NG5" s="245" t="s">
        <v>177</v>
      </c>
      <c r="NH5" s="244" t="s">
        <v>193</v>
      </c>
      <c r="NI5" s="245" t="s">
        <v>194</v>
      </c>
      <c r="NJ5" s="245" t="s">
        <v>192</v>
      </c>
      <c r="NK5" s="245" t="s">
        <v>195</v>
      </c>
      <c r="NL5" s="245" t="s">
        <v>73</v>
      </c>
      <c r="NM5" s="245" t="s">
        <v>48</v>
      </c>
      <c r="NN5" s="245" t="s">
        <v>49</v>
      </c>
      <c r="NO5" s="245" t="s">
        <v>47</v>
      </c>
      <c r="NP5" s="245" t="s">
        <v>50</v>
      </c>
      <c r="NQ5" s="245" t="s">
        <v>51</v>
      </c>
      <c r="NR5" s="244" t="s">
        <v>52</v>
      </c>
      <c r="NS5" s="245" t="s">
        <v>175</v>
      </c>
      <c r="NT5" s="245" t="s">
        <v>176</v>
      </c>
      <c r="NU5" s="245" t="s">
        <v>177</v>
      </c>
      <c r="NV5" s="244" t="s">
        <v>193</v>
      </c>
      <c r="NW5" s="245" t="s">
        <v>194</v>
      </c>
      <c r="NX5" s="245" t="s">
        <v>192</v>
      </c>
      <c r="NY5" s="245" t="s">
        <v>195</v>
      </c>
      <c r="NZ5" s="245" t="s">
        <v>73</v>
      </c>
      <c r="OA5" s="245" t="s">
        <v>48</v>
      </c>
      <c r="OB5" s="245" t="s">
        <v>49</v>
      </c>
      <c r="OC5" s="245" t="s">
        <v>47</v>
      </c>
      <c r="OD5" s="245" t="s">
        <v>50</v>
      </c>
      <c r="OE5" s="245" t="s">
        <v>51</v>
      </c>
      <c r="OF5" s="244" t="s">
        <v>52</v>
      </c>
      <c r="OG5" s="245" t="s">
        <v>175</v>
      </c>
      <c r="OH5" s="245" t="s">
        <v>176</v>
      </c>
      <c r="OI5" s="245" t="s">
        <v>177</v>
      </c>
      <c r="OJ5" s="244" t="s">
        <v>193</v>
      </c>
      <c r="OK5" s="245" t="s">
        <v>194</v>
      </c>
      <c r="OL5" s="245" t="s">
        <v>192</v>
      </c>
      <c r="OM5" s="245" t="s">
        <v>195</v>
      </c>
      <c r="ON5" s="245" t="s">
        <v>73</v>
      </c>
      <c r="OO5" s="245" t="s">
        <v>48</v>
      </c>
      <c r="OP5" s="245" t="s">
        <v>49</v>
      </c>
      <c r="OQ5" s="245" t="s">
        <v>47</v>
      </c>
      <c r="OR5" s="245" t="s">
        <v>50</v>
      </c>
      <c r="OS5" s="245" t="s">
        <v>51</v>
      </c>
      <c r="OT5" s="244" t="s">
        <v>52</v>
      </c>
      <c r="OU5" s="245" t="s">
        <v>175</v>
      </c>
      <c r="OV5" s="245" t="s">
        <v>176</v>
      </c>
      <c r="OW5" s="245" t="s">
        <v>177</v>
      </c>
      <c r="OX5" s="244" t="s">
        <v>193</v>
      </c>
      <c r="OY5" s="245" t="s">
        <v>194</v>
      </c>
      <c r="OZ5" s="245" t="s">
        <v>192</v>
      </c>
      <c r="PA5" s="245" t="s">
        <v>195</v>
      </c>
      <c r="PC5" s="244" t="s">
        <v>342</v>
      </c>
      <c r="PD5" s="244" t="s">
        <v>89</v>
      </c>
      <c r="PE5" s="244" t="s">
        <v>187</v>
      </c>
      <c r="PF5" s="244" t="s">
        <v>345</v>
      </c>
      <c r="PG5" s="245" t="s">
        <v>149</v>
      </c>
      <c r="PH5" s="245" t="s">
        <v>150</v>
      </c>
      <c r="PI5" s="245" t="s">
        <v>151</v>
      </c>
      <c r="PJ5" s="245" t="s">
        <v>152</v>
      </c>
      <c r="PK5" s="245" t="s">
        <v>153</v>
      </c>
      <c r="PL5" s="245" t="s">
        <v>154</v>
      </c>
      <c r="PM5" s="245" t="s">
        <v>155</v>
      </c>
      <c r="PN5" s="245" t="s">
        <v>156</v>
      </c>
      <c r="PO5" s="245" t="s">
        <v>157</v>
      </c>
      <c r="PP5" s="245" t="s">
        <v>158</v>
      </c>
      <c r="PQ5" s="245" t="s">
        <v>167</v>
      </c>
      <c r="PR5" s="245" t="s">
        <v>168</v>
      </c>
      <c r="PS5" s="245" t="s">
        <v>169</v>
      </c>
      <c r="PT5" s="245" t="s">
        <v>170</v>
      </c>
      <c r="PU5" s="245" t="s">
        <v>171</v>
      </c>
    </row>
    <row r="6" spans="1:437" ht="40.700000000000003" customHeight="1" x14ac:dyDescent="0.2">
      <c r="A6" s="117"/>
      <c r="B6" s="118"/>
      <c r="C6" s="118"/>
      <c r="D6" s="118"/>
      <c r="E6" s="118"/>
      <c r="F6" s="118"/>
      <c r="G6" s="118"/>
      <c r="H6" s="118"/>
      <c r="I6" s="118"/>
      <c r="J6" s="118"/>
      <c r="K6" s="118"/>
      <c r="L6" s="118"/>
      <c r="M6" s="257"/>
      <c r="N6" s="257"/>
      <c r="O6" s="257"/>
      <c r="P6" s="118"/>
      <c r="Q6" s="253" t="str">
        <f xml:space="preserve"> vbaIsZero(CalcTAR(F6, U6, J6, K6, M6,N6))</f>
        <v/>
      </c>
      <c r="R6" s="254" t="str">
        <f xml:space="preserve"> vbaIsZero(CalcTUR(F6, U6, J6, K6, P6))</f>
        <v/>
      </c>
      <c r="S6" s="117"/>
      <c r="T6" s="122"/>
      <c r="U6" s="119"/>
      <c r="V6" s="119"/>
      <c r="W6" s="123"/>
      <c r="X6" s="57" t="str">
        <f xml:space="preserve"> vbaIsError(PFAmgr(F6, U6, J6, K6,O6, $AC$1, R6, $AC$2 ))</f>
        <v/>
      </c>
      <c r="Y6" s="57" t="str">
        <f xml:space="preserve"> vbaIsError(PFRmgr(F6, U6, J6, K6,O6, $AC$1, R6, $AC$2 ))</f>
        <v/>
      </c>
      <c r="Z6" s="57" t="str">
        <f xml:space="preserve"> vbaIsError(GBMultmgr($AA$1, F6, U6, J6, K6,AA6,AB6))</f>
        <v/>
      </c>
      <c r="AA6" s="72" t="str">
        <f xml:space="preserve"> vbaIsError(ResDwn(GBLowMgr($AA$1, F6, U6, J6, K6,O6, $AA$2 ), FC6))</f>
        <v/>
      </c>
      <c r="AB6" s="72" t="str">
        <f xml:space="preserve"> vbaIsError(ResUp(GBUpMgr($AA$1, F6, U6, J6, K6,O6, $AA$2 ), FC6))</f>
        <v/>
      </c>
      <c r="AC6" s="57" t="str">
        <f xml:space="preserve"> vbaIsError(PFAWGBmgr(F6, U6, J6, K6,O6,$AA$2,AA6,AB6))</f>
        <v/>
      </c>
      <c r="AD6" s="57" t="str">
        <f xml:space="preserve"> vbaIsError(PFRWGBmgr(F6, U6, J6, K6,O6,$AA$2,AA6,AB6))</f>
        <v/>
      </c>
      <c r="AE6" s="254" t="str">
        <f xml:space="preserve"> vbaIsError(CalIntwGBMgr(F6,U6,J6,K6,O6,$AA$2,$AC$1,AA6,AB6,R6,$AC$2,$AA$3))</f>
        <v/>
      </c>
      <c r="AF6" s="260" t="str">
        <f xml:space="preserve"> vbaIsError(CalIntMgr(F6,U6,J6,K6,O6,$AA$2,$AC$1,R6,$AC$2,$AA$3,$AA$1))</f>
        <v/>
      </c>
      <c r="AG6" s="57" t="str">
        <f xml:space="preserve"> vbaIsError(CalRelMgr(F6,U6,J6,K6,O6,$AA$2,$AC$1,R6,$AC$2,$AA$3,$AA$1))</f>
        <v/>
      </c>
      <c r="AH6" s="256"/>
      <c r="AI6" s="3"/>
      <c r="AJ6" s="4"/>
      <c r="AK6" s="5"/>
      <c r="AL6" s="4"/>
      <c r="AM6" s="4"/>
      <c r="AN6" s="3"/>
      <c r="AO6" s="5"/>
      <c r="AP6" s="3"/>
      <c r="AQ6" s="4"/>
      <c r="AR6" s="5"/>
      <c r="AS6" s="4"/>
      <c r="AT6" s="4"/>
      <c r="AU6" s="3"/>
      <c r="AV6" s="5"/>
      <c r="AW6" s="3"/>
      <c r="AX6" s="4"/>
      <c r="AY6" s="5"/>
      <c r="AZ6" s="4"/>
      <c r="BA6" s="4"/>
      <c r="BB6" s="3"/>
      <c r="BC6" s="5"/>
      <c r="BD6" s="3"/>
      <c r="BE6" s="4"/>
      <c r="BF6" s="5"/>
      <c r="BG6" s="4"/>
      <c r="BH6" s="4"/>
      <c r="BI6" s="3"/>
      <c r="BJ6" s="5"/>
      <c r="BK6" s="3"/>
      <c r="BL6" s="4"/>
      <c r="BM6" s="5"/>
      <c r="BN6" s="4"/>
      <c r="BO6" s="4"/>
      <c r="BP6" s="3"/>
      <c r="BQ6" s="5"/>
      <c r="BR6" s="3"/>
      <c r="BS6" s="4"/>
      <c r="BT6" s="5"/>
      <c r="BU6" s="4"/>
      <c r="BV6" s="4"/>
      <c r="BW6" s="3"/>
      <c r="BX6" s="5"/>
      <c r="BY6" s="3"/>
      <c r="BZ6" s="4"/>
      <c r="CA6" s="5"/>
      <c r="CB6" s="4"/>
      <c r="CC6" s="4"/>
      <c r="CD6" s="3"/>
      <c r="CE6" s="5"/>
      <c r="CF6" s="3"/>
      <c r="CG6" s="4"/>
      <c r="CH6" s="5"/>
      <c r="CI6" s="4"/>
      <c r="CJ6" s="4"/>
      <c r="CK6" s="3"/>
      <c r="CL6" s="5"/>
      <c r="CM6" s="3"/>
      <c r="CN6" s="4"/>
      <c r="CO6" s="5"/>
      <c r="CP6" s="4"/>
      <c r="CQ6" s="4"/>
      <c r="CR6" s="3"/>
      <c r="CS6" s="5"/>
      <c r="CT6" s="3"/>
      <c r="CU6" s="4"/>
      <c r="CV6" s="5"/>
      <c r="CW6" s="4"/>
      <c r="CX6" s="4"/>
      <c r="CY6" s="3"/>
      <c r="CZ6" s="5"/>
      <c r="DA6" s="3"/>
      <c r="DB6" s="4"/>
      <c r="DC6" s="5"/>
      <c r="DD6" s="4"/>
      <c r="DE6" s="4"/>
      <c r="DF6" s="3"/>
      <c r="DG6" s="5"/>
      <c r="DH6" s="3"/>
      <c r="DI6" s="4"/>
      <c r="DJ6" s="5"/>
      <c r="DK6" s="4"/>
      <c r="DL6" s="4"/>
      <c r="DM6" s="3"/>
      <c r="DN6" s="5"/>
      <c r="DO6" s="3"/>
      <c r="DP6" s="4"/>
      <c r="DQ6" s="5"/>
      <c r="DR6" s="4"/>
      <c r="DS6" s="4"/>
      <c r="DT6" s="3"/>
      <c r="DU6" s="5"/>
      <c r="DV6" s="3"/>
      <c r="DW6" s="4"/>
      <c r="DX6" s="5"/>
      <c r="DY6" s="4"/>
      <c r="DZ6" s="4"/>
      <c r="EA6" s="3"/>
      <c r="EB6" s="5"/>
      <c r="EC6" s="3"/>
      <c r="ED6" s="4"/>
      <c r="EE6" s="5"/>
      <c r="EF6" s="4"/>
      <c r="EG6" s="4"/>
      <c r="EH6" s="3"/>
      <c r="EI6" s="5"/>
      <c r="EJ6" s="3"/>
      <c r="EK6" s="3"/>
      <c r="EL6" s="116"/>
      <c r="EM6" s="25"/>
      <c r="EO6" s="119"/>
      <c r="EP6" s="119"/>
      <c r="EQ6" s="119"/>
      <c r="ER6" s="120"/>
      <c r="ES6" s="119"/>
      <c r="ET6" s="119"/>
      <c r="EU6" s="120"/>
      <c r="EV6" s="119"/>
      <c r="EW6" s="119"/>
      <c r="EX6" s="120"/>
      <c r="EY6" s="120"/>
      <c r="EZ6" s="119"/>
      <c r="FA6" s="119"/>
      <c r="FB6" s="120"/>
      <c r="FC6" s="119"/>
      <c r="FD6" s="119"/>
      <c r="FE6" s="119"/>
      <c r="FF6" s="119"/>
      <c r="FG6" s="120"/>
      <c r="FH6" s="119"/>
      <c r="FI6" s="119"/>
      <c r="FJ6" s="120"/>
      <c r="FK6" s="119"/>
      <c r="FL6" s="119"/>
      <c r="FM6" s="120"/>
      <c r="FN6" s="120"/>
      <c r="FO6" s="119"/>
      <c r="FP6" s="119"/>
      <c r="FQ6" s="120"/>
      <c r="FR6" s="119"/>
      <c r="FS6" s="121"/>
      <c r="FT6" s="121"/>
      <c r="FU6" s="121"/>
      <c r="FV6" s="121"/>
      <c r="FW6" s="121"/>
      <c r="FX6" s="121"/>
      <c r="FY6" s="121"/>
      <c r="FZ6" s="121"/>
      <c r="GA6" s="121"/>
      <c r="GB6" s="121"/>
      <c r="GC6" s="121"/>
      <c r="GD6" s="121"/>
      <c r="GE6" s="121"/>
      <c r="GF6" s="121"/>
      <c r="GG6" s="121"/>
      <c r="GI6" s="121"/>
      <c r="GJ6" s="121"/>
      <c r="GK6" s="121"/>
      <c r="GL6" s="121"/>
      <c r="GM6" s="121"/>
      <c r="GN6" s="121"/>
      <c r="GO6" s="121"/>
      <c r="GP6" s="121"/>
      <c r="GQ6" s="121"/>
      <c r="GR6" s="121"/>
      <c r="GS6" s="121"/>
      <c r="GT6" s="121"/>
      <c r="GU6" s="121"/>
      <c r="GV6" s="121"/>
      <c r="GW6" s="121"/>
      <c r="GX6" s="121"/>
      <c r="GZ6" s="119"/>
      <c r="HA6" s="119"/>
      <c r="HB6" s="119"/>
      <c r="HC6" s="120"/>
      <c r="HD6" s="119"/>
      <c r="HE6" s="119"/>
      <c r="HF6" s="120"/>
      <c r="HG6" s="119"/>
      <c r="HH6" s="119"/>
      <c r="HI6" s="120"/>
      <c r="HJ6" s="120"/>
      <c r="HK6" s="119"/>
      <c r="HL6" s="119"/>
      <c r="HM6" s="120"/>
      <c r="HN6" s="119"/>
      <c r="HO6" s="119"/>
      <c r="HP6" s="119"/>
      <c r="HQ6" s="120"/>
      <c r="HR6" s="119"/>
      <c r="HS6" s="119"/>
      <c r="HT6" s="120"/>
      <c r="HU6" s="119"/>
      <c r="HV6" s="119"/>
      <c r="HW6" s="120"/>
      <c r="HX6" s="120"/>
      <c r="HY6" s="119"/>
      <c r="HZ6" s="119"/>
      <c r="IA6" s="120"/>
      <c r="IB6" s="119"/>
      <c r="IC6" s="119"/>
      <c r="ID6" s="119"/>
      <c r="IE6" s="120"/>
      <c r="IF6" s="119"/>
      <c r="IG6" s="119"/>
      <c r="IH6" s="120"/>
      <c r="II6" s="119"/>
      <c r="IJ6" s="119"/>
      <c r="IK6" s="120"/>
      <c r="IL6" s="120"/>
      <c r="IM6" s="119"/>
      <c r="IN6" s="119"/>
      <c r="IO6" s="120"/>
      <c r="IP6" s="119"/>
      <c r="IQ6" s="119"/>
      <c r="IR6" s="119"/>
      <c r="IS6" s="120"/>
      <c r="IT6" s="119"/>
      <c r="IU6" s="119"/>
      <c r="IV6" s="120"/>
      <c r="IW6" s="119"/>
      <c r="IX6" s="119"/>
      <c r="IY6" s="120"/>
      <c r="IZ6" s="120"/>
      <c r="JA6" s="119"/>
      <c r="JB6" s="119"/>
      <c r="JC6" s="120"/>
      <c r="JD6" s="119"/>
      <c r="JE6" s="119"/>
      <c r="JF6" s="119"/>
      <c r="JG6" s="120"/>
      <c r="JH6" s="119"/>
      <c r="JI6" s="119"/>
      <c r="JJ6" s="120"/>
      <c r="JK6" s="119"/>
      <c r="JL6" s="119"/>
      <c r="JM6" s="120"/>
      <c r="JN6" s="120"/>
      <c r="JO6" s="119"/>
      <c r="JP6" s="119"/>
      <c r="JQ6" s="120"/>
      <c r="JR6" s="119"/>
      <c r="JS6" s="119"/>
      <c r="JT6" s="119"/>
      <c r="JU6" s="120"/>
      <c r="JV6" s="119"/>
      <c r="JW6" s="119"/>
      <c r="JX6" s="120"/>
      <c r="JY6" s="119"/>
      <c r="JZ6" s="119"/>
      <c r="KA6" s="120"/>
      <c r="KB6" s="120"/>
      <c r="KC6" s="119"/>
      <c r="KD6" s="119"/>
      <c r="KE6" s="120"/>
      <c r="KF6" s="119"/>
      <c r="KG6" s="119"/>
      <c r="KH6" s="119"/>
      <c r="KI6" s="120"/>
      <c r="KJ6" s="119"/>
      <c r="KK6" s="119"/>
      <c r="KL6" s="120"/>
      <c r="KM6" s="119"/>
      <c r="KN6" s="119"/>
      <c r="KO6" s="120"/>
      <c r="KP6" s="120"/>
      <c r="KQ6" s="119"/>
      <c r="KR6" s="119"/>
      <c r="KS6" s="120"/>
      <c r="KT6" s="119"/>
      <c r="KU6" s="119"/>
      <c r="KV6" s="119"/>
      <c r="KW6" s="120"/>
      <c r="KX6" s="119"/>
      <c r="KY6" s="119"/>
      <c r="KZ6" s="120"/>
      <c r="LA6" s="119"/>
      <c r="LB6" s="119"/>
      <c r="LC6" s="120"/>
      <c r="LD6" s="120"/>
      <c r="LE6" s="119"/>
      <c r="LF6" s="119"/>
      <c r="LG6" s="120"/>
      <c r="LH6" s="119"/>
      <c r="LI6" s="119"/>
      <c r="LJ6" s="119"/>
      <c r="LK6" s="120"/>
      <c r="LL6" s="119"/>
      <c r="LM6" s="119"/>
      <c r="LN6" s="120"/>
      <c r="LO6" s="119"/>
      <c r="LP6" s="119"/>
      <c r="LQ6" s="120"/>
      <c r="LR6" s="120"/>
      <c r="LS6" s="119"/>
      <c r="LT6" s="119"/>
      <c r="LU6" s="120"/>
      <c r="LV6" s="119"/>
      <c r="LW6" s="119"/>
      <c r="LX6" s="119"/>
      <c r="LY6" s="120"/>
      <c r="LZ6" s="119"/>
      <c r="MA6" s="119"/>
      <c r="MB6" s="120"/>
      <c r="MC6" s="119"/>
      <c r="MD6" s="119"/>
      <c r="ME6" s="120"/>
      <c r="MF6" s="120"/>
      <c r="MG6" s="119"/>
      <c r="MH6" s="119"/>
      <c r="MI6" s="120"/>
      <c r="MJ6" s="119"/>
      <c r="MK6" s="119"/>
      <c r="ML6" s="119"/>
      <c r="MM6" s="120"/>
      <c r="MN6" s="119"/>
      <c r="MO6" s="119"/>
      <c r="MP6" s="120"/>
      <c r="MQ6" s="119"/>
      <c r="MR6" s="119"/>
      <c r="MS6" s="120"/>
      <c r="MT6" s="120"/>
      <c r="MU6" s="119"/>
      <c r="MV6" s="119"/>
      <c r="MW6" s="120"/>
      <c r="MX6" s="119"/>
      <c r="MY6" s="119"/>
      <c r="MZ6" s="119"/>
      <c r="NA6" s="120"/>
      <c r="NB6" s="119"/>
      <c r="NC6" s="119"/>
      <c r="ND6" s="120"/>
      <c r="NE6" s="119"/>
      <c r="NF6" s="119"/>
      <c r="NG6" s="120"/>
      <c r="NH6" s="120"/>
      <c r="NI6" s="119"/>
      <c r="NJ6" s="119"/>
      <c r="NK6" s="120"/>
      <c r="NL6" s="119"/>
      <c r="NM6" s="119"/>
      <c r="NN6" s="119"/>
      <c r="NO6" s="120"/>
      <c r="NP6" s="119"/>
      <c r="NQ6" s="119"/>
      <c r="NR6" s="120"/>
      <c r="NS6" s="119"/>
      <c r="NT6" s="119"/>
      <c r="NU6" s="120"/>
      <c r="NV6" s="120"/>
      <c r="NW6" s="119"/>
      <c r="NX6" s="119"/>
      <c r="NY6" s="120"/>
      <c r="NZ6" s="119"/>
      <c r="OA6" s="119"/>
      <c r="OB6" s="119"/>
      <c r="OC6" s="120"/>
      <c r="OD6" s="119"/>
      <c r="OE6" s="119"/>
      <c r="OF6" s="120"/>
      <c r="OG6" s="119"/>
      <c r="OH6" s="119"/>
      <c r="OI6" s="120"/>
      <c r="OJ6" s="120"/>
      <c r="OK6" s="119"/>
      <c r="OL6" s="119"/>
      <c r="OM6" s="120"/>
      <c r="ON6" s="119"/>
      <c r="OO6" s="119"/>
      <c r="OP6" s="119"/>
      <c r="OQ6" s="120"/>
      <c r="OR6" s="119"/>
      <c r="OS6" s="119"/>
      <c r="OT6" s="120"/>
      <c r="OU6" s="119"/>
      <c r="OV6" s="119"/>
      <c r="OW6" s="120"/>
      <c r="OX6" s="120"/>
      <c r="OY6" s="119"/>
      <c r="OZ6" s="119"/>
      <c r="PA6" s="120"/>
      <c r="PC6" s="120"/>
      <c r="PD6" s="120"/>
      <c r="PE6" s="272"/>
      <c r="PF6" s="120"/>
      <c r="PG6" s="121"/>
      <c r="PH6" s="121"/>
      <c r="PI6" s="121"/>
      <c r="PJ6" s="121"/>
      <c r="PK6" s="121"/>
      <c r="PL6" s="121"/>
      <c r="PM6" s="121"/>
      <c r="PN6" s="121"/>
      <c r="PO6" s="121"/>
      <c r="PP6" s="121"/>
      <c r="PQ6" s="121"/>
      <c r="PR6" s="121"/>
      <c r="PS6" s="121"/>
      <c r="PT6" s="121"/>
      <c r="PU6" s="121"/>
    </row>
    <row r="7" spans="1:437" ht="40.700000000000003" customHeight="1" x14ac:dyDescent="0.2">
      <c r="A7" s="117"/>
      <c r="B7" s="118"/>
      <c r="C7" s="118"/>
      <c r="D7" s="118"/>
      <c r="E7" s="118"/>
      <c r="F7" s="118"/>
      <c r="G7" s="118"/>
      <c r="H7" s="118"/>
      <c r="I7" s="118"/>
      <c r="J7" s="118"/>
      <c r="K7" s="118"/>
      <c r="L7" s="118"/>
      <c r="M7" s="257"/>
      <c r="N7" s="257"/>
      <c r="O7" s="257"/>
      <c r="P7" s="118"/>
      <c r="Q7" s="253" t="str">
        <f xml:space="preserve"> vbaIsZero(CalcTAR(F7, U7, J7, K7, M7,N7))</f>
        <v/>
      </c>
      <c r="R7" s="254" t="str">
        <f xml:space="preserve"> vbaIsZero(CalcTUR(F7, U7, J7, K7, P7))</f>
        <v/>
      </c>
      <c r="S7" s="117"/>
      <c r="T7" s="122"/>
      <c r="U7" s="119"/>
      <c r="V7" s="119"/>
      <c r="W7" s="123"/>
      <c r="X7" s="57" t="str">
        <f xml:space="preserve"> vbaIsError(PFAmgr(F7, U7, J7, K7,O7, $AC$1, R7, $AC$2 ))</f>
        <v/>
      </c>
      <c r="Y7" s="57" t="str">
        <f xml:space="preserve"> vbaIsError(PFRmgr(F7, U7, J7, K7,O7, $AC$1, R7, $AC$2 ))</f>
        <v/>
      </c>
      <c r="Z7" s="57" t="str">
        <f xml:space="preserve"> vbaIsError(GBMultmgr($AA$1, F7, U7, J7, K7,AA7,AB7))</f>
        <v/>
      </c>
      <c r="AA7" s="72" t="str">
        <f xml:space="preserve"> vbaIsError(ResDwn(GBLowMgr($AA$1, F7, U7, J7, K7,O7, $AA$2 ), FC7))</f>
        <v/>
      </c>
      <c r="AB7" s="72" t="str">
        <f xml:space="preserve"> vbaIsError(ResUp(GBUpMgr($AA$1, F7, U7, J7, K7,O7, $AA$2 ), FC7))</f>
        <v/>
      </c>
      <c r="AC7" s="57" t="str">
        <f xml:space="preserve"> vbaIsError(PFAWGBmgr(F7, U7, J7, K7,O7,$AA$2,AA7,AB7))</f>
        <v/>
      </c>
      <c r="AD7" s="57" t="str">
        <f xml:space="preserve"> vbaIsError(PFRWGBmgr(F7, U7, J7, K7,O7,$AA$2,AA7,AB7))</f>
        <v/>
      </c>
      <c r="AE7" s="254" t="str">
        <f xml:space="preserve"> vbaIsError(CalIntwGBMgr(F7,U7,J7,K7,O7,$AA$2,$AC$1,AA7,AB7,R7,$AC$2,$AA$3))</f>
        <v/>
      </c>
      <c r="AF7" s="260" t="str">
        <f xml:space="preserve"> vbaIsError(CalIntMgr(F7,U7,J7,K7,O7,$AA$2,$AC$1,R7,$AC$2,$AA$3,$AA$1))</f>
        <v/>
      </c>
      <c r="AG7" s="57" t="str">
        <f xml:space="preserve"> vbaIsError(CalRelMgr(F7,U7,J7,K7,O7,$AA$2,$AC$1,R7,$AC$2,$AA$3,$AA$1))</f>
        <v/>
      </c>
      <c r="AH7" s="256"/>
      <c r="AI7" s="3"/>
      <c r="AJ7" s="4"/>
      <c r="AK7" s="5"/>
      <c r="AL7" s="4"/>
      <c r="AM7" s="4"/>
      <c r="AN7" s="3"/>
      <c r="AO7" s="5"/>
      <c r="AP7" s="3"/>
      <c r="AQ7" s="4"/>
      <c r="AR7" s="5"/>
      <c r="AS7" s="4"/>
      <c r="AT7" s="4"/>
      <c r="AU7" s="3"/>
      <c r="AV7" s="5"/>
      <c r="AW7" s="3"/>
      <c r="AX7" s="4"/>
      <c r="AY7" s="5"/>
      <c r="AZ7" s="4"/>
      <c r="BA7" s="4"/>
      <c r="BB7" s="3"/>
      <c r="BC7" s="5"/>
      <c r="BD7" s="3"/>
      <c r="BE7" s="4"/>
      <c r="BF7" s="5"/>
      <c r="BG7" s="4"/>
      <c r="BH7" s="4"/>
      <c r="BI7" s="3"/>
      <c r="BJ7" s="5"/>
      <c r="BK7" s="3"/>
      <c r="BL7" s="4"/>
      <c r="BM7" s="5"/>
      <c r="BN7" s="4"/>
      <c r="BO7" s="4"/>
      <c r="BP7" s="3"/>
      <c r="BQ7" s="5"/>
      <c r="BR7" s="3"/>
      <c r="BS7" s="4"/>
      <c r="BT7" s="5"/>
      <c r="BU7" s="4"/>
      <c r="BV7" s="4"/>
      <c r="BW7" s="3"/>
      <c r="BX7" s="5"/>
      <c r="BY7" s="3"/>
      <c r="BZ7" s="4"/>
      <c r="CA7" s="5"/>
      <c r="CB7" s="4"/>
      <c r="CC7" s="4"/>
      <c r="CD7" s="3"/>
      <c r="CE7" s="5"/>
      <c r="CF7" s="3"/>
      <c r="CG7" s="4"/>
      <c r="CH7" s="5"/>
      <c r="CI7" s="4"/>
      <c r="CJ7" s="4"/>
      <c r="CK7" s="3"/>
      <c r="CL7" s="5"/>
      <c r="CM7" s="3"/>
      <c r="CN7" s="4"/>
      <c r="CO7" s="5"/>
      <c r="CP7" s="4"/>
      <c r="CQ7" s="4"/>
      <c r="CR7" s="3"/>
      <c r="CS7" s="5"/>
      <c r="CT7" s="3"/>
      <c r="CU7" s="4"/>
      <c r="CV7" s="5"/>
      <c r="CW7" s="4"/>
      <c r="CX7" s="4"/>
      <c r="CY7" s="3"/>
      <c r="CZ7" s="5"/>
      <c r="DA7" s="3"/>
      <c r="DB7" s="4"/>
      <c r="DC7" s="5"/>
      <c r="DD7" s="4"/>
      <c r="DE7" s="4"/>
      <c r="DF7" s="3"/>
      <c r="DG7" s="5"/>
      <c r="DH7" s="3"/>
      <c r="DI7" s="4"/>
      <c r="DJ7" s="5"/>
      <c r="DK7" s="4"/>
      <c r="DL7" s="4"/>
      <c r="DM7" s="3"/>
      <c r="DN7" s="5"/>
      <c r="DO7" s="3"/>
      <c r="DP7" s="4"/>
      <c r="DQ7" s="5"/>
      <c r="DR7" s="4"/>
      <c r="DS7" s="4"/>
      <c r="DT7" s="3"/>
      <c r="DU7" s="5"/>
      <c r="DV7" s="3"/>
      <c r="DW7" s="4"/>
      <c r="DX7" s="5"/>
      <c r="DY7" s="4"/>
      <c r="DZ7" s="4"/>
      <c r="EA7" s="3"/>
      <c r="EB7" s="5"/>
      <c r="EC7" s="3"/>
      <c r="ED7" s="4"/>
      <c r="EE7" s="5"/>
      <c r="EF7" s="4"/>
      <c r="EG7" s="4"/>
      <c r="EH7" s="3"/>
      <c r="EI7" s="5"/>
      <c r="EJ7" s="3"/>
      <c r="EK7" s="3"/>
      <c r="EL7" s="116"/>
      <c r="EM7" s="25"/>
      <c r="EO7" s="119"/>
      <c r="EP7" s="119"/>
      <c r="EQ7" s="119"/>
      <c r="ER7" s="120"/>
      <c r="ES7" s="119"/>
      <c r="ET7" s="119"/>
      <c r="EU7" s="120"/>
      <c r="EV7" s="119"/>
      <c r="EW7" s="119"/>
      <c r="EX7" s="120"/>
      <c r="EY7" s="120"/>
      <c r="EZ7" s="119"/>
      <c r="FA7" s="119"/>
      <c r="FB7" s="120"/>
      <c r="FC7" s="119"/>
      <c r="FD7" s="119"/>
      <c r="FE7" s="119"/>
      <c r="FF7" s="119"/>
      <c r="FG7" s="120"/>
      <c r="FH7" s="119"/>
      <c r="FI7" s="119"/>
      <c r="FJ7" s="120"/>
      <c r="FK7" s="119"/>
      <c r="FL7" s="119"/>
      <c r="FM7" s="120"/>
      <c r="FN7" s="120"/>
      <c r="FO7" s="119"/>
      <c r="FP7" s="119"/>
      <c r="FQ7" s="120"/>
      <c r="FR7" s="119"/>
      <c r="FS7" s="121"/>
      <c r="FT7" s="121"/>
      <c r="FU7" s="121"/>
      <c r="FV7" s="121"/>
      <c r="FW7" s="121"/>
      <c r="FX7" s="121"/>
      <c r="FY7" s="121"/>
      <c r="FZ7" s="121"/>
      <c r="GA7" s="121"/>
      <c r="GB7" s="121"/>
      <c r="GC7" s="121"/>
      <c r="GD7" s="121"/>
      <c r="GE7" s="121"/>
      <c r="GF7" s="121"/>
      <c r="GG7" s="121"/>
      <c r="GI7" s="121"/>
      <c r="GJ7" s="121"/>
      <c r="GK7" s="121"/>
      <c r="GL7" s="121"/>
      <c r="GM7" s="121"/>
      <c r="GN7" s="121"/>
      <c r="GO7" s="121"/>
      <c r="GP7" s="121"/>
      <c r="GQ7" s="121"/>
      <c r="GR7" s="121"/>
      <c r="GS7" s="121"/>
      <c r="GT7" s="121"/>
      <c r="GU7" s="121"/>
      <c r="GV7" s="121"/>
      <c r="GW7" s="121"/>
      <c r="GX7" s="121"/>
      <c r="GZ7" s="119"/>
      <c r="HA7" s="119"/>
      <c r="HB7" s="119"/>
      <c r="HC7" s="120"/>
      <c r="HD7" s="119"/>
      <c r="HE7" s="119"/>
      <c r="HF7" s="120"/>
      <c r="HG7" s="119"/>
      <c r="HH7" s="119"/>
      <c r="HI7" s="120"/>
      <c r="HJ7" s="120"/>
      <c r="HK7" s="119"/>
      <c r="HL7" s="119"/>
      <c r="HM7" s="120"/>
      <c r="HN7" s="119"/>
      <c r="HO7" s="119"/>
      <c r="HP7" s="119"/>
      <c r="HQ7" s="120"/>
      <c r="HR7" s="119"/>
      <c r="HS7" s="119"/>
      <c r="HT7" s="120"/>
      <c r="HU7" s="119"/>
      <c r="HV7" s="119"/>
      <c r="HW7" s="120"/>
      <c r="HX7" s="120"/>
      <c r="HY7" s="119"/>
      <c r="HZ7" s="119"/>
      <c r="IA7" s="120"/>
      <c r="IB7" s="119"/>
      <c r="IC7" s="119"/>
      <c r="ID7" s="119"/>
      <c r="IE7" s="120"/>
      <c r="IF7" s="119"/>
      <c r="IG7" s="119"/>
      <c r="IH7" s="120"/>
      <c r="II7" s="119"/>
      <c r="IJ7" s="119"/>
      <c r="IK7" s="120"/>
      <c r="IL7" s="120"/>
      <c r="IM7" s="119"/>
      <c r="IN7" s="119"/>
      <c r="IO7" s="120"/>
      <c r="IP7" s="119"/>
      <c r="IQ7" s="119"/>
      <c r="IR7" s="119"/>
      <c r="IS7" s="120"/>
      <c r="IT7" s="119"/>
      <c r="IU7" s="119"/>
      <c r="IV7" s="120"/>
      <c r="IW7" s="119"/>
      <c r="IX7" s="119"/>
      <c r="IY7" s="120"/>
      <c r="IZ7" s="120"/>
      <c r="JA7" s="119"/>
      <c r="JB7" s="119"/>
      <c r="JC7" s="120"/>
      <c r="JD7" s="119"/>
      <c r="JE7" s="119"/>
      <c r="JF7" s="119"/>
      <c r="JG7" s="120"/>
      <c r="JH7" s="119"/>
      <c r="JI7" s="119"/>
      <c r="JJ7" s="120"/>
      <c r="JK7" s="119"/>
      <c r="JL7" s="119"/>
      <c r="JM7" s="120"/>
      <c r="JN7" s="120"/>
      <c r="JO7" s="119"/>
      <c r="JP7" s="119"/>
      <c r="JQ7" s="120"/>
      <c r="JR7" s="119"/>
      <c r="JS7" s="119"/>
      <c r="JT7" s="119"/>
      <c r="JU7" s="120"/>
      <c r="JV7" s="119"/>
      <c r="JW7" s="119"/>
      <c r="JX7" s="120"/>
      <c r="JY7" s="119"/>
      <c r="JZ7" s="119"/>
      <c r="KA7" s="120"/>
      <c r="KB7" s="120"/>
      <c r="KC7" s="119"/>
      <c r="KD7" s="119"/>
      <c r="KE7" s="120"/>
      <c r="KF7" s="119"/>
      <c r="KG7" s="119"/>
      <c r="KH7" s="119"/>
      <c r="KI7" s="120"/>
      <c r="KJ7" s="119"/>
      <c r="KK7" s="119"/>
      <c r="KL7" s="120"/>
      <c r="KM7" s="119"/>
      <c r="KN7" s="119"/>
      <c r="KO7" s="120"/>
      <c r="KP7" s="120"/>
      <c r="KQ7" s="119"/>
      <c r="KR7" s="119"/>
      <c r="KS7" s="120"/>
      <c r="KT7" s="119"/>
      <c r="KU7" s="119"/>
      <c r="KV7" s="119"/>
      <c r="KW7" s="120"/>
      <c r="KX7" s="119"/>
      <c r="KY7" s="119"/>
      <c r="KZ7" s="120"/>
      <c r="LA7" s="119"/>
      <c r="LB7" s="119"/>
      <c r="LC7" s="120"/>
      <c r="LD7" s="120"/>
      <c r="LE7" s="119"/>
      <c r="LF7" s="119"/>
      <c r="LG7" s="120"/>
      <c r="LH7" s="119"/>
      <c r="LI7" s="119"/>
      <c r="LJ7" s="119"/>
      <c r="LK7" s="120"/>
      <c r="LL7" s="119"/>
      <c r="LM7" s="119"/>
      <c r="LN7" s="120"/>
      <c r="LO7" s="119"/>
      <c r="LP7" s="119"/>
      <c r="LQ7" s="120"/>
      <c r="LR7" s="120"/>
      <c r="LS7" s="119"/>
      <c r="LT7" s="119"/>
      <c r="LU7" s="120"/>
      <c r="LV7" s="119"/>
      <c r="LW7" s="119"/>
      <c r="LX7" s="119"/>
      <c r="LY7" s="120"/>
      <c r="LZ7" s="119"/>
      <c r="MA7" s="119"/>
      <c r="MB7" s="120"/>
      <c r="MC7" s="119"/>
      <c r="MD7" s="119"/>
      <c r="ME7" s="120"/>
      <c r="MF7" s="120"/>
      <c r="MG7" s="119"/>
      <c r="MH7" s="119"/>
      <c r="MI7" s="120"/>
      <c r="MJ7" s="119"/>
      <c r="MK7" s="119"/>
      <c r="ML7" s="119"/>
      <c r="MM7" s="120"/>
      <c r="MN7" s="119"/>
      <c r="MO7" s="119"/>
      <c r="MP7" s="120"/>
      <c r="MQ7" s="119"/>
      <c r="MR7" s="119"/>
      <c r="MS7" s="120"/>
      <c r="MT7" s="120"/>
      <c r="MU7" s="119"/>
      <c r="MV7" s="119"/>
      <c r="MW7" s="120"/>
      <c r="MX7" s="119"/>
      <c r="MY7" s="119"/>
      <c r="MZ7" s="119"/>
      <c r="NA7" s="120"/>
      <c r="NB7" s="119"/>
      <c r="NC7" s="119"/>
      <c r="ND7" s="120"/>
      <c r="NE7" s="119"/>
      <c r="NF7" s="119"/>
      <c r="NG7" s="120"/>
      <c r="NH7" s="120"/>
      <c r="NI7" s="119"/>
      <c r="NJ7" s="119"/>
      <c r="NK7" s="120"/>
      <c r="NL7" s="119"/>
      <c r="NM7" s="119"/>
      <c r="NN7" s="119"/>
      <c r="NO7" s="120"/>
      <c r="NP7" s="119"/>
      <c r="NQ7" s="119"/>
      <c r="NR7" s="120"/>
      <c r="NS7" s="119"/>
      <c r="NT7" s="119"/>
      <c r="NU7" s="120"/>
      <c r="NV7" s="120"/>
      <c r="NW7" s="119"/>
      <c r="NX7" s="119"/>
      <c r="NY7" s="120"/>
      <c r="NZ7" s="119"/>
      <c r="OA7" s="119"/>
      <c r="OB7" s="119"/>
      <c r="OC7" s="120"/>
      <c r="OD7" s="119"/>
      <c r="OE7" s="119"/>
      <c r="OF7" s="120"/>
      <c r="OG7" s="119"/>
      <c r="OH7" s="119"/>
      <c r="OI7" s="120"/>
      <c r="OJ7" s="120"/>
      <c r="OK7" s="119"/>
      <c r="OL7" s="119"/>
      <c r="OM7" s="120"/>
      <c r="ON7" s="119"/>
      <c r="OO7" s="119"/>
      <c r="OP7" s="119"/>
      <c r="OQ7" s="120"/>
      <c r="OR7" s="119"/>
      <c r="OS7" s="119"/>
      <c r="OT7" s="120"/>
      <c r="OU7" s="119"/>
      <c r="OV7" s="119"/>
      <c r="OW7" s="120"/>
      <c r="OX7" s="120"/>
      <c r="OY7" s="119"/>
      <c r="OZ7" s="119"/>
      <c r="PA7" s="120"/>
      <c r="PC7" s="120"/>
      <c r="PD7" s="120"/>
      <c r="PE7" s="272"/>
      <c r="PF7" s="120"/>
      <c r="PG7" s="121"/>
      <c r="PH7" s="121"/>
      <c r="PI7" s="121"/>
      <c r="PJ7" s="121"/>
      <c r="PK7" s="121"/>
      <c r="PL7" s="121"/>
      <c r="PM7" s="121"/>
      <c r="PN7" s="121"/>
      <c r="PO7" s="121"/>
      <c r="PP7" s="121"/>
      <c r="PQ7" s="121"/>
      <c r="PR7" s="121"/>
      <c r="PS7" s="121"/>
      <c r="PT7" s="121"/>
      <c r="PU7" s="121"/>
    </row>
    <row r="8" spans="1:437" ht="40.700000000000003" customHeight="1" x14ac:dyDescent="0.2">
      <c r="A8" s="117"/>
      <c r="B8" s="118"/>
      <c r="C8" s="118"/>
      <c r="D8" s="118"/>
      <c r="E8" s="118"/>
      <c r="F8" s="118"/>
      <c r="G8" s="118"/>
      <c r="H8" s="118"/>
      <c r="I8" s="118"/>
      <c r="J8" s="118"/>
      <c r="K8" s="118"/>
      <c r="L8" s="118"/>
      <c r="M8" s="257"/>
      <c r="N8" s="257"/>
      <c r="O8" s="257"/>
      <c r="P8" s="118"/>
      <c r="Q8" s="253" t="str">
        <f xml:space="preserve"> vbaIsZero(CalcTAR(F8, U8, J8, K8, M8,N8))</f>
        <v/>
      </c>
      <c r="R8" s="254" t="str">
        <f xml:space="preserve"> vbaIsZero(CalcTUR(F8, U8, J8, K8, P8))</f>
        <v/>
      </c>
      <c r="S8" s="117"/>
      <c r="T8" s="122"/>
      <c r="U8" s="119"/>
      <c r="V8" s="119"/>
      <c r="W8" s="123"/>
      <c r="X8" s="57" t="str">
        <f xml:space="preserve"> vbaIsError(PFAmgr(F8, U8, J8, K8,O8, $AC$1, R8, $AC$2 ))</f>
        <v/>
      </c>
      <c r="Y8" s="57" t="str">
        <f xml:space="preserve"> vbaIsError(PFRmgr(F8, U8, J8, K8,O8, $AC$1, R8, $AC$2 ))</f>
        <v/>
      </c>
      <c r="Z8" s="57" t="str">
        <f xml:space="preserve"> vbaIsError(GBMultmgr($AA$1, F8, U8, J8, K8,AA8,AB8))</f>
        <v/>
      </c>
      <c r="AA8" s="72" t="str">
        <f xml:space="preserve"> vbaIsError(ResDwn(GBLowMgr($AA$1, F8, U8, J8, K8,O8, $AA$2 ), FC8))</f>
        <v/>
      </c>
      <c r="AB8" s="72" t="str">
        <f xml:space="preserve"> vbaIsError(ResUp(GBUpMgr($AA$1, F8, U8, J8, K8,O8, $AA$2 ), FC8))</f>
        <v/>
      </c>
      <c r="AC8" s="57" t="str">
        <f xml:space="preserve"> vbaIsError(PFAWGBmgr(F8, U8, J8, K8,O8,$AA$2,AA8,AB8))</f>
        <v/>
      </c>
      <c r="AD8" s="57" t="str">
        <f xml:space="preserve"> vbaIsError(PFRWGBmgr(F8, U8, J8, K8,O8,$AA$2,AA8,AB8))</f>
        <v/>
      </c>
      <c r="AE8" s="254" t="str">
        <f xml:space="preserve"> vbaIsError(CalIntwGBMgr(F8,U8,J8,K8,O8,$AA$2,$AC$1,AA8,AB8,R8,$AC$2,$AA$3))</f>
        <v/>
      </c>
      <c r="AF8" s="260" t="str">
        <f xml:space="preserve"> vbaIsError(CalIntMgr(F8,U8,J8,K8,O8,$AA$2,$AC$1,R8,$AC$2,$AA$3,$AA$1))</f>
        <v/>
      </c>
      <c r="AG8" s="57" t="str">
        <f xml:space="preserve"> vbaIsError(CalRelMgr(F8,U8,J8,K8,O8,$AA$2,$AC$1,R8,$AC$2,$AA$3,$AA$1))</f>
        <v/>
      </c>
      <c r="AH8" s="256"/>
      <c r="AI8" s="3"/>
      <c r="AJ8" s="4"/>
      <c r="AK8" s="5"/>
      <c r="AL8" s="4"/>
      <c r="AM8" s="4"/>
      <c r="AN8" s="3"/>
      <c r="AO8" s="5"/>
      <c r="AP8" s="3"/>
      <c r="AQ8" s="4"/>
      <c r="AR8" s="5"/>
      <c r="AS8" s="4"/>
      <c r="AT8" s="4"/>
      <c r="AU8" s="3"/>
      <c r="AV8" s="5"/>
      <c r="AW8" s="3"/>
      <c r="AX8" s="4"/>
      <c r="AY8" s="5"/>
      <c r="AZ8" s="4"/>
      <c r="BA8" s="4"/>
      <c r="BB8" s="3"/>
      <c r="BC8" s="5"/>
      <c r="BD8" s="3"/>
      <c r="BE8" s="4"/>
      <c r="BF8" s="5"/>
      <c r="BG8" s="4"/>
      <c r="BH8" s="4"/>
      <c r="BI8" s="3"/>
      <c r="BJ8" s="5"/>
      <c r="BK8" s="3"/>
      <c r="BL8" s="4"/>
      <c r="BM8" s="5"/>
      <c r="BN8" s="4"/>
      <c r="BO8" s="4"/>
      <c r="BP8" s="3"/>
      <c r="BQ8" s="5"/>
      <c r="BR8" s="3"/>
      <c r="BS8" s="4"/>
      <c r="BT8" s="5"/>
      <c r="BU8" s="4"/>
      <c r="BV8" s="4"/>
      <c r="BW8" s="3"/>
      <c r="BX8" s="5"/>
      <c r="BY8" s="3"/>
      <c r="BZ8" s="4"/>
      <c r="CA8" s="5"/>
      <c r="CB8" s="4"/>
      <c r="CC8" s="4"/>
      <c r="CD8" s="3"/>
      <c r="CE8" s="5"/>
      <c r="CF8" s="3"/>
      <c r="CG8" s="4"/>
      <c r="CH8" s="5"/>
      <c r="CI8" s="4"/>
      <c r="CJ8" s="4"/>
      <c r="CK8" s="3"/>
      <c r="CL8" s="5"/>
      <c r="CM8" s="3"/>
      <c r="CN8" s="4"/>
      <c r="CO8" s="5"/>
      <c r="CP8" s="4"/>
      <c r="CQ8" s="4"/>
      <c r="CR8" s="3"/>
      <c r="CS8" s="5"/>
      <c r="CT8" s="3"/>
      <c r="CU8" s="4"/>
      <c r="CV8" s="5"/>
      <c r="CW8" s="4"/>
      <c r="CX8" s="4"/>
      <c r="CY8" s="3"/>
      <c r="CZ8" s="5"/>
      <c r="DA8" s="3"/>
      <c r="DB8" s="4"/>
      <c r="DC8" s="5"/>
      <c r="DD8" s="4"/>
      <c r="DE8" s="4"/>
      <c r="DF8" s="3"/>
      <c r="DG8" s="5"/>
      <c r="DH8" s="3"/>
      <c r="DI8" s="4"/>
      <c r="DJ8" s="5"/>
      <c r="DK8" s="4"/>
      <c r="DL8" s="4"/>
      <c r="DM8" s="3"/>
      <c r="DN8" s="5"/>
      <c r="DO8" s="3"/>
      <c r="DP8" s="4"/>
      <c r="DQ8" s="5"/>
      <c r="DR8" s="4"/>
      <c r="DS8" s="4"/>
      <c r="DT8" s="3"/>
      <c r="DU8" s="5"/>
      <c r="DV8" s="3"/>
      <c r="DW8" s="4"/>
      <c r="DX8" s="5"/>
      <c r="DY8" s="4"/>
      <c r="DZ8" s="4"/>
      <c r="EA8" s="3"/>
      <c r="EB8" s="5"/>
      <c r="EC8" s="3"/>
      <c r="ED8" s="4"/>
      <c r="EE8" s="5"/>
      <c r="EF8" s="4"/>
      <c r="EG8" s="4"/>
      <c r="EH8" s="3"/>
      <c r="EI8" s="5"/>
      <c r="EJ8" s="3"/>
      <c r="EK8" s="3"/>
      <c r="EL8" s="116"/>
      <c r="EM8" s="25"/>
      <c r="EO8" s="119"/>
      <c r="EP8" s="119"/>
      <c r="EQ8" s="119"/>
      <c r="ER8" s="120"/>
      <c r="ES8" s="119"/>
      <c r="ET8" s="119"/>
      <c r="EU8" s="120"/>
      <c r="EV8" s="119"/>
      <c r="EW8" s="119"/>
      <c r="EX8" s="120"/>
      <c r="EY8" s="120"/>
      <c r="EZ8" s="119"/>
      <c r="FA8" s="119"/>
      <c r="FB8" s="120"/>
      <c r="FC8" s="119"/>
      <c r="FD8" s="119"/>
      <c r="FE8" s="119"/>
      <c r="FF8" s="119"/>
      <c r="FG8" s="120"/>
      <c r="FH8" s="119"/>
      <c r="FI8" s="119"/>
      <c r="FJ8" s="120"/>
      <c r="FK8" s="119"/>
      <c r="FL8" s="119"/>
      <c r="FM8" s="120"/>
      <c r="FN8" s="120"/>
      <c r="FO8" s="119"/>
      <c r="FP8" s="119"/>
      <c r="FQ8" s="120"/>
      <c r="FR8" s="119"/>
      <c r="FS8" s="121"/>
      <c r="FT8" s="121"/>
      <c r="FU8" s="121"/>
      <c r="FV8" s="121"/>
      <c r="FW8" s="121"/>
      <c r="FX8" s="121"/>
      <c r="FY8" s="121"/>
      <c r="FZ8" s="121"/>
      <c r="GA8" s="121"/>
      <c r="GB8" s="121"/>
      <c r="GC8" s="121"/>
      <c r="GD8" s="121"/>
      <c r="GE8" s="121"/>
      <c r="GF8" s="121"/>
      <c r="GG8" s="121"/>
      <c r="GI8" s="121"/>
      <c r="GJ8" s="121"/>
      <c r="GK8" s="121"/>
      <c r="GL8" s="121"/>
      <c r="GM8" s="121"/>
      <c r="GN8" s="121"/>
      <c r="GO8" s="121"/>
      <c r="GP8" s="121"/>
      <c r="GQ8" s="121"/>
      <c r="GR8" s="121"/>
      <c r="GS8" s="121"/>
      <c r="GT8" s="121"/>
      <c r="GU8" s="121"/>
      <c r="GV8" s="121"/>
      <c r="GW8" s="121"/>
      <c r="GX8" s="121"/>
      <c r="GZ8" s="119"/>
      <c r="HA8" s="119"/>
      <c r="HB8" s="119"/>
      <c r="HC8" s="120"/>
      <c r="HD8" s="119"/>
      <c r="HE8" s="119"/>
      <c r="HF8" s="120"/>
      <c r="HG8" s="119"/>
      <c r="HH8" s="119"/>
      <c r="HI8" s="120"/>
      <c r="HJ8" s="120"/>
      <c r="HK8" s="119"/>
      <c r="HL8" s="119"/>
      <c r="HM8" s="120"/>
      <c r="HN8" s="119"/>
      <c r="HO8" s="119"/>
      <c r="HP8" s="119"/>
      <c r="HQ8" s="120"/>
      <c r="HR8" s="119"/>
      <c r="HS8" s="119"/>
      <c r="HT8" s="120"/>
      <c r="HU8" s="119"/>
      <c r="HV8" s="119"/>
      <c r="HW8" s="120"/>
      <c r="HX8" s="120"/>
      <c r="HY8" s="119"/>
      <c r="HZ8" s="119"/>
      <c r="IA8" s="120"/>
      <c r="IB8" s="119"/>
      <c r="IC8" s="119"/>
      <c r="ID8" s="119"/>
      <c r="IE8" s="120"/>
      <c r="IF8" s="119"/>
      <c r="IG8" s="119"/>
      <c r="IH8" s="120"/>
      <c r="II8" s="119"/>
      <c r="IJ8" s="119"/>
      <c r="IK8" s="120"/>
      <c r="IL8" s="120"/>
      <c r="IM8" s="119"/>
      <c r="IN8" s="119"/>
      <c r="IO8" s="120"/>
      <c r="IP8" s="119"/>
      <c r="IQ8" s="119"/>
      <c r="IR8" s="119"/>
      <c r="IS8" s="120"/>
      <c r="IT8" s="119"/>
      <c r="IU8" s="119"/>
      <c r="IV8" s="120"/>
      <c r="IW8" s="119"/>
      <c r="IX8" s="119"/>
      <c r="IY8" s="120"/>
      <c r="IZ8" s="120"/>
      <c r="JA8" s="119"/>
      <c r="JB8" s="119"/>
      <c r="JC8" s="120"/>
      <c r="JD8" s="119"/>
      <c r="JE8" s="119"/>
      <c r="JF8" s="119"/>
      <c r="JG8" s="120"/>
      <c r="JH8" s="119"/>
      <c r="JI8" s="119"/>
      <c r="JJ8" s="120"/>
      <c r="JK8" s="119"/>
      <c r="JL8" s="119"/>
      <c r="JM8" s="120"/>
      <c r="JN8" s="120"/>
      <c r="JO8" s="119"/>
      <c r="JP8" s="119"/>
      <c r="JQ8" s="120"/>
      <c r="JR8" s="119"/>
      <c r="JS8" s="119"/>
      <c r="JT8" s="119"/>
      <c r="JU8" s="120"/>
      <c r="JV8" s="119"/>
      <c r="JW8" s="119"/>
      <c r="JX8" s="120"/>
      <c r="JY8" s="119"/>
      <c r="JZ8" s="119"/>
      <c r="KA8" s="120"/>
      <c r="KB8" s="120"/>
      <c r="KC8" s="119"/>
      <c r="KD8" s="119"/>
      <c r="KE8" s="120"/>
      <c r="KF8" s="119"/>
      <c r="KG8" s="119"/>
      <c r="KH8" s="119"/>
      <c r="KI8" s="120"/>
      <c r="KJ8" s="119"/>
      <c r="KK8" s="119"/>
      <c r="KL8" s="120"/>
      <c r="KM8" s="119"/>
      <c r="KN8" s="119"/>
      <c r="KO8" s="120"/>
      <c r="KP8" s="120"/>
      <c r="KQ8" s="119"/>
      <c r="KR8" s="119"/>
      <c r="KS8" s="120"/>
      <c r="KT8" s="119"/>
      <c r="KU8" s="119"/>
      <c r="KV8" s="119"/>
      <c r="KW8" s="120"/>
      <c r="KX8" s="119"/>
      <c r="KY8" s="119"/>
      <c r="KZ8" s="120"/>
      <c r="LA8" s="119"/>
      <c r="LB8" s="119"/>
      <c r="LC8" s="120"/>
      <c r="LD8" s="120"/>
      <c r="LE8" s="119"/>
      <c r="LF8" s="119"/>
      <c r="LG8" s="120"/>
      <c r="LH8" s="119"/>
      <c r="LI8" s="119"/>
      <c r="LJ8" s="119"/>
      <c r="LK8" s="120"/>
      <c r="LL8" s="119"/>
      <c r="LM8" s="119"/>
      <c r="LN8" s="120"/>
      <c r="LO8" s="119"/>
      <c r="LP8" s="119"/>
      <c r="LQ8" s="120"/>
      <c r="LR8" s="120"/>
      <c r="LS8" s="119"/>
      <c r="LT8" s="119"/>
      <c r="LU8" s="120"/>
      <c r="LV8" s="119"/>
      <c r="LW8" s="119"/>
      <c r="LX8" s="119"/>
      <c r="LY8" s="120"/>
      <c r="LZ8" s="119"/>
      <c r="MA8" s="119"/>
      <c r="MB8" s="120"/>
      <c r="MC8" s="119"/>
      <c r="MD8" s="119"/>
      <c r="ME8" s="120"/>
      <c r="MF8" s="120"/>
      <c r="MG8" s="119"/>
      <c r="MH8" s="119"/>
      <c r="MI8" s="120"/>
      <c r="MJ8" s="119"/>
      <c r="MK8" s="119"/>
      <c r="ML8" s="119"/>
      <c r="MM8" s="120"/>
      <c r="MN8" s="119"/>
      <c r="MO8" s="119"/>
      <c r="MP8" s="120"/>
      <c r="MQ8" s="119"/>
      <c r="MR8" s="119"/>
      <c r="MS8" s="120"/>
      <c r="MT8" s="120"/>
      <c r="MU8" s="119"/>
      <c r="MV8" s="119"/>
      <c r="MW8" s="120"/>
      <c r="MX8" s="119"/>
      <c r="MY8" s="119"/>
      <c r="MZ8" s="119"/>
      <c r="NA8" s="120"/>
      <c r="NB8" s="119"/>
      <c r="NC8" s="119"/>
      <c r="ND8" s="120"/>
      <c r="NE8" s="119"/>
      <c r="NF8" s="119"/>
      <c r="NG8" s="120"/>
      <c r="NH8" s="120"/>
      <c r="NI8" s="119"/>
      <c r="NJ8" s="119"/>
      <c r="NK8" s="120"/>
      <c r="NL8" s="119"/>
      <c r="NM8" s="119"/>
      <c r="NN8" s="119"/>
      <c r="NO8" s="120"/>
      <c r="NP8" s="119"/>
      <c r="NQ8" s="119"/>
      <c r="NR8" s="120"/>
      <c r="NS8" s="119"/>
      <c r="NT8" s="119"/>
      <c r="NU8" s="120"/>
      <c r="NV8" s="120"/>
      <c r="NW8" s="119"/>
      <c r="NX8" s="119"/>
      <c r="NY8" s="120"/>
      <c r="NZ8" s="119"/>
      <c r="OA8" s="119"/>
      <c r="OB8" s="119"/>
      <c r="OC8" s="120"/>
      <c r="OD8" s="119"/>
      <c r="OE8" s="119"/>
      <c r="OF8" s="120"/>
      <c r="OG8" s="119"/>
      <c r="OH8" s="119"/>
      <c r="OI8" s="120"/>
      <c r="OJ8" s="120"/>
      <c r="OK8" s="119"/>
      <c r="OL8" s="119"/>
      <c r="OM8" s="120"/>
      <c r="ON8" s="119"/>
      <c r="OO8" s="119"/>
      <c r="OP8" s="119"/>
      <c r="OQ8" s="120"/>
      <c r="OR8" s="119"/>
      <c r="OS8" s="119"/>
      <c r="OT8" s="120"/>
      <c r="OU8" s="119"/>
      <c r="OV8" s="119"/>
      <c r="OW8" s="120"/>
      <c r="OX8" s="120"/>
      <c r="OY8" s="119"/>
      <c r="OZ8" s="119"/>
      <c r="PA8" s="120"/>
      <c r="PC8" s="120"/>
      <c r="PD8" s="120"/>
      <c r="PE8" s="272"/>
      <c r="PF8" s="120"/>
      <c r="PG8" s="121"/>
      <c r="PH8" s="121"/>
      <c r="PI8" s="121"/>
      <c r="PJ8" s="121"/>
      <c r="PK8" s="121"/>
      <c r="PL8" s="121"/>
      <c r="PM8" s="121"/>
      <c r="PN8" s="121"/>
      <c r="PO8" s="121"/>
      <c r="PP8" s="121"/>
      <c r="PQ8" s="121"/>
      <c r="PR8" s="121"/>
      <c r="PS8" s="121"/>
      <c r="PT8" s="121"/>
      <c r="PU8" s="121"/>
    </row>
    <row r="9" spans="1:437" ht="40.700000000000003" customHeight="1" x14ac:dyDescent="0.2">
      <c r="A9" s="117"/>
      <c r="B9" s="118"/>
      <c r="C9" s="118"/>
      <c r="D9" s="118"/>
      <c r="E9" s="118"/>
      <c r="F9" s="118"/>
      <c r="G9" s="118"/>
      <c r="H9" s="118"/>
      <c r="I9" s="118"/>
      <c r="J9" s="118"/>
      <c r="K9" s="118"/>
      <c r="L9" s="118"/>
      <c r="M9" s="257"/>
      <c r="N9" s="257"/>
      <c r="O9" s="257"/>
      <c r="P9" s="118"/>
      <c r="Q9" s="253" t="str">
        <f xml:space="preserve"> vbaIsZero(CalcTAR(F9, U9, J9, K9, M9,N9))</f>
        <v/>
      </c>
      <c r="R9" s="254" t="str">
        <f xml:space="preserve"> vbaIsZero(CalcTUR(F9, U9, J9, K9, P9))</f>
        <v/>
      </c>
      <c r="S9" s="117"/>
      <c r="T9" s="122"/>
      <c r="U9" s="119"/>
      <c r="V9" s="119"/>
      <c r="W9" s="123"/>
      <c r="X9" s="57" t="str">
        <f xml:space="preserve"> vbaIsError(PFAmgr(F9, U9, J9, K9,O9, $AC$1, R9, $AC$2 ))</f>
        <v/>
      </c>
      <c r="Y9" s="57" t="str">
        <f xml:space="preserve"> vbaIsError(PFRmgr(F9, U9, J9, K9,O9, $AC$1, R9, $AC$2 ))</f>
        <v/>
      </c>
      <c r="Z9" s="57" t="str">
        <f xml:space="preserve"> vbaIsError(GBMultmgr($AA$1, F9, U9, J9, K9,AA9,AB9))</f>
        <v/>
      </c>
      <c r="AA9" s="72" t="str">
        <f xml:space="preserve"> vbaIsError(ResDwn(GBLowMgr($AA$1, F9, U9, J9, K9,O9, $AA$2 ), FC9))</f>
        <v/>
      </c>
      <c r="AB9" s="72" t="str">
        <f xml:space="preserve"> vbaIsError(ResUp(GBUpMgr($AA$1, F9, U9, J9, K9,O9, $AA$2 ), FC9))</f>
        <v/>
      </c>
      <c r="AC9" s="57" t="str">
        <f xml:space="preserve"> vbaIsError(PFAWGBmgr(F9, U9, J9, K9,O9,$AA$2,AA9,AB9))</f>
        <v/>
      </c>
      <c r="AD9" s="57" t="str">
        <f xml:space="preserve"> vbaIsError(PFRWGBmgr(F9, U9, J9, K9,O9,$AA$2,AA9,AB9))</f>
        <v/>
      </c>
      <c r="AE9" s="254" t="str">
        <f xml:space="preserve"> vbaIsError(CalIntwGBMgr(F9,U9,J9,K9,O9,$AA$2,$AC$1,AA9,AB9,R9,$AC$2,$AA$3))</f>
        <v/>
      </c>
      <c r="AF9" s="260" t="str">
        <f xml:space="preserve"> vbaIsError(CalIntMgr(F9,U9,J9,K9,O9,$AA$2,$AC$1,R9,$AC$2,$AA$3,$AA$1))</f>
        <v/>
      </c>
      <c r="AG9" s="57" t="str">
        <f xml:space="preserve"> vbaIsError(CalRelMgr(F9,U9,J9,K9,O9,$AA$2,$AC$1,R9,$AC$2,$AA$3,$AA$1))</f>
        <v/>
      </c>
      <c r="AH9" s="256"/>
      <c r="AI9" s="3"/>
      <c r="AJ9" s="4"/>
      <c r="AK9" s="5"/>
      <c r="AL9" s="4"/>
      <c r="AM9" s="4"/>
      <c r="AN9" s="3"/>
      <c r="AO9" s="5"/>
      <c r="AP9" s="3"/>
      <c r="AQ9" s="4"/>
      <c r="AR9" s="5"/>
      <c r="AS9" s="4"/>
      <c r="AT9" s="4"/>
      <c r="AU9" s="3"/>
      <c r="AV9" s="5"/>
      <c r="AW9" s="3"/>
      <c r="AX9" s="4"/>
      <c r="AY9" s="5"/>
      <c r="AZ9" s="4"/>
      <c r="BA9" s="4"/>
      <c r="BB9" s="3"/>
      <c r="BC9" s="5"/>
      <c r="BD9" s="3"/>
      <c r="BE9" s="4"/>
      <c r="BF9" s="5"/>
      <c r="BG9" s="4"/>
      <c r="BH9" s="4"/>
      <c r="BI9" s="3"/>
      <c r="BJ9" s="5"/>
      <c r="BK9" s="3"/>
      <c r="BL9" s="4"/>
      <c r="BM9" s="5"/>
      <c r="BN9" s="4"/>
      <c r="BO9" s="4"/>
      <c r="BP9" s="3"/>
      <c r="BQ9" s="5"/>
      <c r="BR9" s="3"/>
      <c r="BS9" s="4"/>
      <c r="BT9" s="5"/>
      <c r="BU9" s="4"/>
      <c r="BV9" s="4"/>
      <c r="BW9" s="3"/>
      <c r="BX9" s="5"/>
      <c r="BY9" s="3"/>
      <c r="BZ9" s="4"/>
      <c r="CA9" s="5"/>
      <c r="CB9" s="4"/>
      <c r="CC9" s="4"/>
      <c r="CD9" s="3"/>
      <c r="CE9" s="5"/>
      <c r="CF9" s="3"/>
      <c r="CG9" s="4"/>
      <c r="CH9" s="5"/>
      <c r="CI9" s="4"/>
      <c r="CJ9" s="4"/>
      <c r="CK9" s="3"/>
      <c r="CL9" s="5"/>
      <c r="CM9" s="3"/>
      <c r="CN9" s="4"/>
      <c r="CO9" s="5"/>
      <c r="CP9" s="4"/>
      <c r="CQ9" s="4"/>
      <c r="CR9" s="3"/>
      <c r="CS9" s="5"/>
      <c r="CT9" s="3"/>
      <c r="CU9" s="4"/>
      <c r="CV9" s="5"/>
      <c r="CW9" s="4"/>
      <c r="CX9" s="4"/>
      <c r="CY9" s="3"/>
      <c r="CZ9" s="5"/>
      <c r="DA9" s="3"/>
      <c r="DB9" s="4"/>
      <c r="DC9" s="5"/>
      <c r="DD9" s="4"/>
      <c r="DE9" s="4"/>
      <c r="DF9" s="3"/>
      <c r="DG9" s="5"/>
      <c r="DH9" s="3"/>
      <c r="DI9" s="4"/>
      <c r="DJ9" s="5"/>
      <c r="DK9" s="4"/>
      <c r="DL9" s="4"/>
      <c r="DM9" s="3"/>
      <c r="DN9" s="5"/>
      <c r="DO9" s="3"/>
      <c r="DP9" s="4"/>
      <c r="DQ9" s="5"/>
      <c r="DR9" s="4"/>
      <c r="DS9" s="4"/>
      <c r="DT9" s="3"/>
      <c r="DU9" s="5"/>
      <c r="DV9" s="3"/>
      <c r="DW9" s="4"/>
      <c r="DX9" s="5"/>
      <c r="DY9" s="4"/>
      <c r="DZ9" s="4"/>
      <c r="EA9" s="3"/>
      <c r="EB9" s="5"/>
      <c r="EC9" s="3"/>
      <c r="ED9" s="4"/>
      <c r="EE9" s="5"/>
      <c r="EF9" s="4"/>
      <c r="EG9" s="4"/>
      <c r="EH9" s="3"/>
      <c r="EI9" s="5"/>
      <c r="EJ9" s="3"/>
      <c r="EK9" s="3"/>
      <c r="EL9" s="116"/>
      <c r="EM9" s="25"/>
      <c r="EO9" s="119"/>
      <c r="EP9" s="119"/>
      <c r="EQ9" s="119"/>
      <c r="ER9" s="120"/>
      <c r="ES9" s="119"/>
      <c r="ET9" s="119"/>
      <c r="EU9" s="120"/>
      <c r="EV9" s="119"/>
      <c r="EW9" s="119"/>
      <c r="EX9" s="120"/>
      <c r="EY9" s="120"/>
      <c r="EZ9" s="119"/>
      <c r="FA9" s="119"/>
      <c r="FB9" s="120"/>
      <c r="FC9" s="119"/>
      <c r="FD9" s="119"/>
      <c r="FE9" s="119"/>
      <c r="FF9" s="119"/>
      <c r="FG9" s="120"/>
      <c r="FH9" s="119"/>
      <c r="FI9" s="119"/>
      <c r="FJ9" s="120"/>
      <c r="FK9" s="119"/>
      <c r="FL9" s="119"/>
      <c r="FM9" s="120"/>
      <c r="FN9" s="120"/>
      <c r="FO9" s="119"/>
      <c r="FP9" s="119"/>
      <c r="FQ9" s="120"/>
      <c r="FR9" s="119"/>
      <c r="FS9" s="121"/>
      <c r="FT9" s="121"/>
      <c r="FU9" s="121"/>
      <c r="FV9" s="121"/>
      <c r="FW9" s="121"/>
      <c r="FX9" s="121"/>
      <c r="FY9" s="121"/>
      <c r="FZ9" s="121"/>
      <c r="GA9" s="121"/>
      <c r="GB9" s="121"/>
      <c r="GC9" s="121"/>
      <c r="GD9" s="121"/>
      <c r="GE9" s="121"/>
      <c r="GF9" s="121"/>
      <c r="GG9" s="121"/>
      <c r="GI9" s="121"/>
      <c r="GJ9" s="121"/>
      <c r="GK9" s="121"/>
      <c r="GL9" s="121"/>
      <c r="GM9" s="121"/>
      <c r="GN9" s="121"/>
      <c r="GO9" s="121"/>
      <c r="GP9" s="121"/>
      <c r="GQ9" s="121"/>
      <c r="GR9" s="121"/>
      <c r="GS9" s="121"/>
      <c r="GT9" s="121"/>
      <c r="GU9" s="121"/>
      <c r="GV9" s="121"/>
      <c r="GW9" s="121"/>
      <c r="GX9" s="121"/>
      <c r="GZ9" s="119"/>
      <c r="HA9" s="119"/>
      <c r="HB9" s="119"/>
      <c r="HC9" s="120"/>
      <c r="HD9" s="119"/>
      <c r="HE9" s="119"/>
      <c r="HF9" s="120"/>
      <c r="HG9" s="119"/>
      <c r="HH9" s="119"/>
      <c r="HI9" s="120"/>
      <c r="HJ9" s="120"/>
      <c r="HK9" s="119"/>
      <c r="HL9" s="119"/>
      <c r="HM9" s="120"/>
      <c r="HN9" s="119"/>
      <c r="HO9" s="119"/>
      <c r="HP9" s="119"/>
      <c r="HQ9" s="120"/>
      <c r="HR9" s="119"/>
      <c r="HS9" s="119"/>
      <c r="HT9" s="120"/>
      <c r="HU9" s="119"/>
      <c r="HV9" s="119"/>
      <c r="HW9" s="120"/>
      <c r="HX9" s="120"/>
      <c r="HY9" s="119"/>
      <c r="HZ9" s="119"/>
      <c r="IA9" s="120"/>
      <c r="IB9" s="119"/>
      <c r="IC9" s="119"/>
      <c r="ID9" s="119"/>
      <c r="IE9" s="120"/>
      <c r="IF9" s="119"/>
      <c r="IG9" s="119"/>
      <c r="IH9" s="120"/>
      <c r="II9" s="119"/>
      <c r="IJ9" s="119"/>
      <c r="IK9" s="120"/>
      <c r="IL9" s="120"/>
      <c r="IM9" s="119"/>
      <c r="IN9" s="119"/>
      <c r="IO9" s="120"/>
      <c r="IP9" s="119"/>
      <c r="IQ9" s="119"/>
      <c r="IR9" s="119"/>
      <c r="IS9" s="120"/>
      <c r="IT9" s="119"/>
      <c r="IU9" s="119"/>
      <c r="IV9" s="120"/>
      <c r="IW9" s="119"/>
      <c r="IX9" s="119"/>
      <c r="IY9" s="120"/>
      <c r="IZ9" s="120"/>
      <c r="JA9" s="119"/>
      <c r="JB9" s="119"/>
      <c r="JC9" s="120"/>
      <c r="JD9" s="119"/>
      <c r="JE9" s="119"/>
      <c r="JF9" s="119"/>
      <c r="JG9" s="120"/>
      <c r="JH9" s="119"/>
      <c r="JI9" s="119"/>
      <c r="JJ9" s="120"/>
      <c r="JK9" s="119"/>
      <c r="JL9" s="119"/>
      <c r="JM9" s="120"/>
      <c r="JN9" s="120"/>
      <c r="JO9" s="119"/>
      <c r="JP9" s="119"/>
      <c r="JQ9" s="120"/>
      <c r="JR9" s="119"/>
      <c r="JS9" s="119"/>
      <c r="JT9" s="119"/>
      <c r="JU9" s="120"/>
      <c r="JV9" s="119"/>
      <c r="JW9" s="119"/>
      <c r="JX9" s="120"/>
      <c r="JY9" s="119"/>
      <c r="JZ9" s="119"/>
      <c r="KA9" s="120"/>
      <c r="KB9" s="120"/>
      <c r="KC9" s="119"/>
      <c r="KD9" s="119"/>
      <c r="KE9" s="120"/>
      <c r="KF9" s="119"/>
      <c r="KG9" s="119"/>
      <c r="KH9" s="119"/>
      <c r="KI9" s="120"/>
      <c r="KJ9" s="119"/>
      <c r="KK9" s="119"/>
      <c r="KL9" s="120"/>
      <c r="KM9" s="119"/>
      <c r="KN9" s="119"/>
      <c r="KO9" s="120"/>
      <c r="KP9" s="120"/>
      <c r="KQ9" s="119"/>
      <c r="KR9" s="119"/>
      <c r="KS9" s="120"/>
      <c r="KT9" s="119"/>
      <c r="KU9" s="119"/>
      <c r="KV9" s="119"/>
      <c r="KW9" s="120"/>
      <c r="KX9" s="119"/>
      <c r="KY9" s="119"/>
      <c r="KZ9" s="120"/>
      <c r="LA9" s="119"/>
      <c r="LB9" s="119"/>
      <c r="LC9" s="120"/>
      <c r="LD9" s="120"/>
      <c r="LE9" s="119"/>
      <c r="LF9" s="119"/>
      <c r="LG9" s="120"/>
      <c r="LH9" s="119"/>
      <c r="LI9" s="119"/>
      <c r="LJ9" s="119"/>
      <c r="LK9" s="120"/>
      <c r="LL9" s="119"/>
      <c r="LM9" s="119"/>
      <c r="LN9" s="120"/>
      <c r="LO9" s="119"/>
      <c r="LP9" s="119"/>
      <c r="LQ9" s="120"/>
      <c r="LR9" s="120"/>
      <c r="LS9" s="119"/>
      <c r="LT9" s="119"/>
      <c r="LU9" s="120"/>
      <c r="LV9" s="119"/>
      <c r="LW9" s="119"/>
      <c r="LX9" s="119"/>
      <c r="LY9" s="120"/>
      <c r="LZ9" s="119"/>
      <c r="MA9" s="119"/>
      <c r="MB9" s="120"/>
      <c r="MC9" s="119"/>
      <c r="MD9" s="119"/>
      <c r="ME9" s="120"/>
      <c r="MF9" s="120"/>
      <c r="MG9" s="119"/>
      <c r="MH9" s="119"/>
      <c r="MI9" s="120"/>
      <c r="MJ9" s="119"/>
      <c r="MK9" s="119"/>
      <c r="ML9" s="119"/>
      <c r="MM9" s="120"/>
      <c r="MN9" s="119"/>
      <c r="MO9" s="119"/>
      <c r="MP9" s="120"/>
      <c r="MQ9" s="119"/>
      <c r="MR9" s="119"/>
      <c r="MS9" s="120"/>
      <c r="MT9" s="120"/>
      <c r="MU9" s="119"/>
      <c r="MV9" s="119"/>
      <c r="MW9" s="120"/>
      <c r="MX9" s="119"/>
      <c r="MY9" s="119"/>
      <c r="MZ9" s="119"/>
      <c r="NA9" s="120"/>
      <c r="NB9" s="119"/>
      <c r="NC9" s="119"/>
      <c r="ND9" s="120"/>
      <c r="NE9" s="119"/>
      <c r="NF9" s="119"/>
      <c r="NG9" s="120"/>
      <c r="NH9" s="120"/>
      <c r="NI9" s="119"/>
      <c r="NJ9" s="119"/>
      <c r="NK9" s="120"/>
      <c r="NL9" s="119"/>
      <c r="NM9" s="119"/>
      <c r="NN9" s="119"/>
      <c r="NO9" s="120"/>
      <c r="NP9" s="119"/>
      <c r="NQ9" s="119"/>
      <c r="NR9" s="120"/>
      <c r="NS9" s="119"/>
      <c r="NT9" s="119"/>
      <c r="NU9" s="120"/>
      <c r="NV9" s="120"/>
      <c r="NW9" s="119"/>
      <c r="NX9" s="119"/>
      <c r="NY9" s="120"/>
      <c r="NZ9" s="119"/>
      <c r="OA9" s="119"/>
      <c r="OB9" s="119"/>
      <c r="OC9" s="120"/>
      <c r="OD9" s="119"/>
      <c r="OE9" s="119"/>
      <c r="OF9" s="120"/>
      <c r="OG9" s="119"/>
      <c r="OH9" s="119"/>
      <c r="OI9" s="120"/>
      <c r="OJ9" s="120"/>
      <c r="OK9" s="119"/>
      <c r="OL9" s="119"/>
      <c r="OM9" s="120"/>
      <c r="ON9" s="119"/>
      <c r="OO9" s="119"/>
      <c r="OP9" s="119"/>
      <c r="OQ9" s="120"/>
      <c r="OR9" s="119"/>
      <c r="OS9" s="119"/>
      <c r="OT9" s="120"/>
      <c r="OU9" s="119"/>
      <c r="OV9" s="119"/>
      <c r="OW9" s="120"/>
      <c r="OX9" s="120"/>
      <c r="OY9" s="119"/>
      <c r="OZ9" s="119"/>
      <c r="PA9" s="120"/>
      <c r="PC9" s="120"/>
      <c r="PD9" s="120"/>
      <c r="PE9" s="272"/>
      <c r="PF9" s="120"/>
      <c r="PG9" s="121"/>
      <c r="PH9" s="121"/>
      <c r="PI9" s="121"/>
      <c r="PJ9" s="121"/>
      <c r="PK9" s="121"/>
      <c r="PL9" s="121"/>
      <c r="PM9" s="121"/>
      <c r="PN9" s="121"/>
      <c r="PO9" s="121"/>
      <c r="PP9" s="121"/>
      <c r="PQ9" s="121"/>
      <c r="PR9" s="121"/>
      <c r="PS9" s="121"/>
      <c r="PT9" s="121"/>
      <c r="PU9" s="121"/>
    </row>
    <row r="10" spans="1:437" ht="40.700000000000003" customHeight="1" x14ac:dyDescent="0.2">
      <c r="A10" s="117"/>
      <c r="B10" s="118"/>
      <c r="C10" s="118"/>
      <c r="D10" s="118"/>
      <c r="E10" s="118"/>
      <c r="F10" s="118"/>
      <c r="G10" s="118"/>
      <c r="H10" s="118"/>
      <c r="I10" s="118"/>
      <c r="J10" s="118"/>
      <c r="K10" s="118"/>
      <c r="L10" s="118"/>
      <c r="M10" s="257"/>
      <c r="N10" s="257"/>
      <c r="O10" s="257"/>
      <c r="P10" s="118"/>
      <c r="Q10" s="253" t="str">
        <f xml:space="preserve"> vbaIsZero(CalcTAR(F10, U10, J10, K10, M10,N10))</f>
        <v/>
      </c>
      <c r="R10" s="254" t="str">
        <f xml:space="preserve"> vbaIsZero(CalcTUR(F10, U10, J10, K10, P10))</f>
        <v/>
      </c>
      <c r="S10" s="117"/>
      <c r="T10" s="122"/>
      <c r="U10" s="119"/>
      <c r="V10" s="119"/>
      <c r="W10" s="123"/>
      <c r="X10" s="57" t="str">
        <f xml:space="preserve"> vbaIsError(PFAmgr(F10, U10, J10, K10,O10, $AC$1, R10, $AC$2 ))</f>
        <v/>
      </c>
      <c r="Y10" s="57" t="str">
        <f xml:space="preserve"> vbaIsError(PFRmgr(F10, U10, J10, K10,O10, $AC$1, R10, $AC$2 ))</f>
        <v/>
      </c>
      <c r="Z10" s="57" t="str">
        <f xml:space="preserve"> vbaIsError(GBMultmgr($AA$1, F10, U10, J10, K10,AA10,AB10))</f>
        <v/>
      </c>
      <c r="AA10" s="72" t="str">
        <f xml:space="preserve"> vbaIsError(ResDwn(GBLowMgr($AA$1, F10, U10, J10, K10,O10, $AA$2 ), FC10))</f>
        <v/>
      </c>
      <c r="AB10" s="72" t="str">
        <f xml:space="preserve"> vbaIsError(ResUp(GBUpMgr($AA$1, F10, U10, J10, K10,O10, $AA$2 ), FC10))</f>
        <v/>
      </c>
      <c r="AC10" s="57" t="str">
        <f xml:space="preserve"> vbaIsError(PFAWGBmgr(F10, U10, J10, K10,O10,$AA$2,AA10,AB10))</f>
        <v/>
      </c>
      <c r="AD10" s="57" t="str">
        <f xml:space="preserve"> vbaIsError(PFRWGBmgr(F10, U10, J10, K10,O10,$AA$2,AA10,AB10))</f>
        <v/>
      </c>
      <c r="AE10" s="254" t="str">
        <f xml:space="preserve"> vbaIsError(CalIntwGBMgr(F10,U10,J10,K10,O10,$AA$2,$AC$1,AA10,AB10,R10,$AC$2,$AA$3))</f>
        <v/>
      </c>
      <c r="AF10" s="260" t="str">
        <f xml:space="preserve"> vbaIsError(CalIntMgr(F10,U10,J10,K10,O10,$AA$2,$AC$1,R10,$AC$2,$AA$3,$AA$1))</f>
        <v/>
      </c>
      <c r="AG10" s="57" t="str">
        <f xml:space="preserve"> vbaIsError(CalRelMgr(F10,U10,J10,K10,O10,$AA$2,$AC$1,R10,$AC$2,$AA$3,$AA$1))</f>
        <v/>
      </c>
      <c r="AH10" s="256"/>
      <c r="AI10" s="3"/>
      <c r="AJ10" s="4"/>
      <c r="AK10" s="5"/>
      <c r="AL10" s="4"/>
      <c r="AM10" s="4"/>
      <c r="AN10" s="3"/>
      <c r="AO10" s="5"/>
      <c r="AP10" s="3"/>
      <c r="AQ10" s="4"/>
      <c r="AR10" s="5"/>
      <c r="AS10" s="4"/>
      <c r="AT10" s="4"/>
      <c r="AU10" s="3"/>
      <c r="AV10" s="5"/>
      <c r="AW10" s="3"/>
      <c r="AX10" s="4"/>
      <c r="AY10" s="5"/>
      <c r="AZ10" s="4"/>
      <c r="BA10" s="4"/>
      <c r="BB10" s="3"/>
      <c r="BC10" s="5"/>
      <c r="BD10" s="3"/>
      <c r="BE10" s="4"/>
      <c r="BF10" s="5"/>
      <c r="BG10" s="4"/>
      <c r="BH10" s="4"/>
      <c r="BI10" s="3"/>
      <c r="BJ10" s="5"/>
      <c r="BK10" s="3"/>
      <c r="BL10" s="4"/>
      <c r="BM10" s="5"/>
      <c r="BN10" s="4"/>
      <c r="BO10" s="4"/>
      <c r="BP10" s="3"/>
      <c r="BQ10" s="5"/>
      <c r="BR10" s="3"/>
      <c r="BS10" s="4"/>
      <c r="BT10" s="5"/>
      <c r="BU10" s="4"/>
      <c r="BV10" s="4"/>
      <c r="BW10" s="3"/>
      <c r="BX10" s="5"/>
      <c r="BY10" s="3"/>
      <c r="BZ10" s="4"/>
      <c r="CA10" s="5"/>
      <c r="CB10" s="4"/>
      <c r="CC10" s="4"/>
      <c r="CD10" s="3"/>
      <c r="CE10" s="5"/>
      <c r="CF10" s="3"/>
      <c r="CG10" s="4"/>
      <c r="CH10" s="5"/>
      <c r="CI10" s="4"/>
      <c r="CJ10" s="4"/>
      <c r="CK10" s="3"/>
      <c r="CL10" s="5"/>
      <c r="CM10" s="3"/>
      <c r="CN10" s="4"/>
      <c r="CO10" s="5"/>
      <c r="CP10" s="4"/>
      <c r="CQ10" s="4"/>
      <c r="CR10" s="3"/>
      <c r="CS10" s="5"/>
      <c r="CT10" s="3"/>
      <c r="CU10" s="4"/>
      <c r="CV10" s="5"/>
      <c r="CW10" s="4"/>
      <c r="CX10" s="4"/>
      <c r="CY10" s="3"/>
      <c r="CZ10" s="5"/>
      <c r="DA10" s="3"/>
      <c r="DB10" s="4"/>
      <c r="DC10" s="5"/>
      <c r="DD10" s="4"/>
      <c r="DE10" s="4"/>
      <c r="DF10" s="3"/>
      <c r="DG10" s="5"/>
      <c r="DH10" s="3"/>
      <c r="DI10" s="4"/>
      <c r="DJ10" s="5"/>
      <c r="DK10" s="4"/>
      <c r="DL10" s="4"/>
      <c r="DM10" s="3"/>
      <c r="DN10" s="5"/>
      <c r="DO10" s="3"/>
      <c r="DP10" s="4"/>
      <c r="DQ10" s="5"/>
      <c r="DR10" s="4"/>
      <c r="DS10" s="4"/>
      <c r="DT10" s="3"/>
      <c r="DU10" s="5"/>
      <c r="DV10" s="3"/>
      <c r="DW10" s="4"/>
      <c r="DX10" s="5"/>
      <c r="DY10" s="4"/>
      <c r="DZ10" s="4"/>
      <c r="EA10" s="3"/>
      <c r="EB10" s="5"/>
      <c r="EC10" s="3"/>
      <c r="ED10" s="4"/>
      <c r="EE10" s="5"/>
      <c r="EF10" s="4"/>
      <c r="EG10" s="4"/>
      <c r="EH10" s="3"/>
      <c r="EI10" s="5"/>
      <c r="EJ10" s="3"/>
      <c r="EK10" s="3"/>
      <c r="EL10" s="116"/>
      <c r="EM10" s="25"/>
      <c r="EO10" s="119"/>
      <c r="EP10" s="119"/>
      <c r="EQ10" s="119"/>
      <c r="ER10" s="120"/>
      <c r="ES10" s="119"/>
      <c r="ET10" s="119"/>
      <c r="EU10" s="120"/>
      <c r="EV10" s="119"/>
      <c r="EW10" s="119"/>
      <c r="EX10" s="120"/>
      <c r="EY10" s="120"/>
      <c r="EZ10" s="119"/>
      <c r="FA10" s="119"/>
      <c r="FB10" s="120"/>
      <c r="FC10" s="119"/>
      <c r="FD10" s="119"/>
      <c r="FE10" s="119"/>
      <c r="FF10" s="119"/>
      <c r="FG10" s="120"/>
      <c r="FH10" s="119"/>
      <c r="FI10" s="119"/>
      <c r="FJ10" s="120"/>
      <c r="FK10" s="119"/>
      <c r="FL10" s="119"/>
      <c r="FM10" s="120"/>
      <c r="FN10" s="120"/>
      <c r="FO10" s="119"/>
      <c r="FP10" s="119"/>
      <c r="FQ10" s="120"/>
      <c r="FR10" s="119"/>
      <c r="FS10" s="121"/>
      <c r="FT10" s="121"/>
      <c r="FU10" s="121"/>
      <c r="FV10" s="121"/>
      <c r="FW10" s="121"/>
      <c r="FX10" s="121"/>
      <c r="FY10" s="121"/>
      <c r="FZ10" s="121"/>
      <c r="GA10" s="121"/>
      <c r="GB10" s="121"/>
      <c r="GC10" s="121"/>
      <c r="GD10" s="121"/>
      <c r="GE10" s="121"/>
      <c r="GF10" s="121"/>
      <c r="GG10" s="121"/>
      <c r="GI10" s="121"/>
      <c r="GJ10" s="121"/>
      <c r="GK10" s="121"/>
      <c r="GL10" s="121"/>
      <c r="GM10" s="121"/>
      <c r="GN10" s="121"/>
      <c r="GO10" s="121"/>
      <c r="GP10" s="121"/>
      <c r="GQ10" s="121"/>
      <c r="GR10" s="121"/>
      <c r="GS10" s="121"/>
      <c r="GT10" s="121"/>
      <c r="GU10" s="121"/>
      <c r="GV10" s="121"/>
      <c r="GW10" s="121"/>
      <c r="GX10" s="121"/>
      <c r="GZ10" s="119"/>
      <c r="HA10" s="119"/>
      <c r="HB10" s="119"/>
      <c r="HC10" s="120"/>
      <c r="HD10" s="119"/>
      <c r="HE10" s="119"/>
      <c r="HF10" s="120"/>
      <c r="HG10" s="119"/>
      <c r="HH10" s="119"/>
      <c r="HI10" s="120"/>
      <c r="HJ10" s="120"/>
      <c r="HK10" s="119"/>
      <c r="HL10" s="119"/>
      <c r="HM10" s="120"/>
      <c r="HN10" s="119"/>
      <c r="HO10" s="119"/>
      <c r="HP10" s="119"/>
      <c r="HQ10" s="120"/>
      <c r="HR10" s="119"/>
      <c r="HS10" s="119"/>
      <c r="HT10" s="120"/>
      <c r="HU10" s="119"/>
      <c r="HV10" s="119"/>
      <c r="HW10" s="120"/>
      <c r="HX10" s="120"/>
      <c r="HY10" s="119"/>
      <c r="HZ10" s="119"/>
      <c r="IA10" s="120"/>
      <c r="IB10" s="119"/>
      <c r="IC10" s="119"/>
      <c r="ID10" s="119"/>
      <c r="IE10" s="120"/>
      <c r="IF10" s="119"/>
      <c r="IG10" s="119"/>
      <c r="IH10" s="120"/>
      <c r="II10" s="119"/>
      <c r="IJ10" s="119"/>
      <c r="IK10" s="120"/>
      <c r="IL10" s="120"/>
      <c r="IM10" s="119"/>
      <c r="IN10" s="119"/>
      <c r="IO10" s="120"/>
      <c r="IP10" s="119"/>
      <c r="IQ10" s="119"/>
      <c r="IR10" s="119"/>
      <c r="IS10" s="120"/>
      <c r="IT10" s="119"/>
      <c r="IU10" s="119"/>
      <c r="IV10" s="120"/>
      <c r="IW10" s="119"/>
      <c r="IX10" s="119"/>
      <c r="IY10" s="120"/>
      <c r="IZ10" s="120"/>
      <c r="JA10" s="119"/>
      <c r="JB10" s="119"/>
      <c r="JC10" s="120"/>
      <c r="JD10" s="119"/>
      <c r="JE10" s="119"/>
      <c r="JF10" s="119"/>
      <c r="JG10" s="120"/>
      <c r="JH10" s="119"/>
      <c r="JI10" s="119"/>
      <c r="JJ10" s="120"/>
      <c r="JK10" s="119"/>
      <c r="JL10" s="119"/>
      <c r="JM10" s="120"/>
      <c r="JN10" s="120"/>
      <c r="JO10" s="119"/>
      <c r="JP10" s="119"/>
      <c r="JQ10" s="120"/>
      <c r="JR10" s="119"/>
      <c r="JS10" s="119"/>
      <c r="JT10" s="119"/>
      <c r="JU10" s="120"/>
      <c r="JV10" s="119"/>
      <c r="JW10" s="119"/>
      <c r="JX10" s="120"/>
      <c r="JY10" s="119"/>
      <c r="JZ10" s="119"/>
      <c r="KA10" s="120"/>
      <c r="KB10" s="120"/>
      <c r="KC10" s="119"/>
      <c r="KD10" s="119"/>
      <c r="KE10" s="120"/>
      <c r="KF10" s="119"/>
      <c r="KG10" s="119"/>
      <c r="KH10" s="119"/>
      <c r="KI10" s="120"/>
      <c r="KJ10" s="119"/>
      <c r="KK10" s="119"/>
      <c r="KL10" s="120"/>
      <c r="KM10" s="119"/>
      <c r="KN10" s="119"/>
      <c r="KO10" s="120"/>
      <c r="KP10" s="120"/>
      <c r="KQ10" s="119"/>
      <c r="KR10" s="119"/>
      <c r="KS10" s="120"/>
      <c r="KT10" s="119"/>
      <c r="KU10" s="119"/>
      <c r="KV10" s="119"/>
      <c r="KW10" s="120"/>
      <c r="KX10" s="119"/>
      <c r="KY10" s="119"/>
      <c r="KZ10" s="120"/>
      <c r="LA10" s="119"/>
      <c r="LB10" s="119"/>
      <c r="LC10" s="120"/>
      <c r="LD10" s="120"/>
      <c r="LE10" s="119"/>
      <c r="LF10" s="119"/>
      <c r="LG10" s="120"/>
      <c r="LH10" s="119"/>
      <c r="LI10" s="119"/>
      <c r="LJ10" s="119"/>
      <c r="LK10" s="120"/>
      <c r="LL10" s="119"/>
      <c r="LM10" s="119"/>
      <c r="LN10" s="120"/>
      <c r="LO10" s="119"/>
      <c r="LP10" s="119"/>
      <c r="LQ10" s="120"/>
      <c r="LR10" s="120"/>
      <c r="LS10" s="119"/>
      <c r="LT10" s="119"/>
      <c r="LU10" s="120"/>
      <c r="LV10" s="119"/>
      <c r="LW10" s="119"/>
      <c r="LX10" s="119"/>
      <c r="LY10" s="120"/>
      <c r="LZ10" s="119"/>
      <c r="MA10" s="119"/>
      <c r="MB10" s="120"/>
      <c r="MC10" s="119"/>
      <c r="MD10" s="119"/>
      <c r="ME10" s="120"/>
      <c r="MF10" s="120"/>
      <c r="MG10" s="119"/>
      <c r="MH10" s="119"/>
      <c r="MI10" s="120"/>
      <c r="MJ10" s="119"/>
      <c r="MK10" s="119"/>
      <c r="ML10" s="119"/>
      <c r="MM10" s="120"/>
      <c r="MN10" s="119"/>
      <c r="MO10" s="119"/>
      <c r="MP10" s="120"/>
      <c r="MQ10" s="119"/>
      <c r="MR10" s="119"/>
      <c r="MS10" s="120"/>
      <c r="MT10" s="120"/>
      <c r="MU10" s="119"/>
      <c r="MV10" s="119"/>
      <c r="MW10" s="120"/>
      <c r="MX10" s="119"/>
      <c r="MY10" s="119"/>
      <c r="MZ10" s="119"/>
      <c r="NA10" s="120"/>
      <c r="NB10" s="119"/>
      <c r="NC10" s="119"/>
      <c r="ND10" s="120"/>
      <c r="NE10" s="119"/>
      <c r="NF10" s="119"/>
      <c r="NG10" s="120"/>
      <c r="NH10" s="120"/>
      <c r="NI10" s="119"/>
      <c r="NJ10" s="119"/>
      <c r="NK10" s="120"/>
      <c r="NL10" s="119"/>
      <c r="NM10" s="119"/>
      <c r="NN10" s="119"/>
      <c r="NO10" s="120"/>
      <c r="NP10" s="119"/>
      <c r="NQ10" s="119"/>
      <c r="NR10" s="120"/>
      <c r="NS10" s="119"/>
      <c r="NT10" s="119"/>
      <c r="NU10" s="120"/>
      <c r="NV10" s="120"/>
      <c r="NW10" s="119"/>
      <c r="NX10" s="119"/>
      <c r="NY10" s="120"/>
      <c r="NZ10" s="119"/>
      <c r="OA10" s="119"/>
      <c r="OB10" s="119"/>
      <c r="OC10" s="120"/>
      <c r="OD10" s="119"/>
      <c r="OE10" s="119"/>
      <c r="OF10" s="120"/>
      <c r="OG10" s="119"/>
      <c r="OH10" s="119"/>
      <c r="OI10" s="120"/>
      <c r="OJ10" s="120"/>
      <c r="OK10" s="119"/>
      <c r="OL10" s="119"/>
      <c r="OM10" s="120"/>
      <c r="ON10" s="119"/>
      <c r="OO10" s="119"/>
      <c r="OP10" s="119"/>
      <c r="OQ10" s="120"/>
      <c r="OR10" s="119"/>
      <c r="OS10" s="119"/>
      <c r="OT10" s="120"/>
      <c r="OU10" s="119"/>
      <c r="OV10" s="119"/>
      <c r="OW10" s="120"/>
      <c r="OX10" s="120"/>
      <c r="OY10" s="119"/>
      <c r="OZ10" s="119"/>
      <c r="PA10" s="120"/>
      <c r="PC10" s="120"/>
      <c r="PD10" s="120"/>
      <c r="PE10" s="272"/>
      <c r="PF10" s="120"/>
      <c r="PG10" s="121"/>
      <c r="PH10" s="121"/>
      <c r="PI10" s="121"/>
      <c r="PJ10" s="121"/>
      <c r="PK10" s="121"/>
      <c r="PL10" s="121"/>
      <c r="PM10" s="121"/>
      <c r="PN10" s="121"/>
      <c r="PO10" s="121"/>
      <c r="PP10" s="121"/>
      <c r="PQ10" s="121"/>
      <c r="PR10" s="121"/>
      <c r="PS10" s="121"/>
      <c r="PT10" s="121"/>
      <c r="PU10" s="121"/>
    </row>
    <row r="11" spans="1:437" ht="40.700000000000003" customHeight="1" x14ac:dyDescent="0.2">
      <c r="A11" s="117"/>
      <c r="B11" s="118"/>
      <c r="C11" s="118"/>
      <c r="D11" s="118"/>
      <c r="E11" s="118"/>
      <c r="F11" s="118"/>
      <c r="G11" s="118"/>
      <c r="H11" s="118"/>
      <c r="I11" s="118"/>
      <c r="J11" s="118"/>
      <c r="K11" s="118"/>
      <c r="L11" s="118"/>
      <c r="M11" s="257"/>
      <c r="N11" s="257"/>
      <c r="O11" s="257"/>
      <c r="P11" s="118"/>
      <c r="Q11" s="253" t="str">
        <f xml:space="preserve"> vbaIsZero(CalcTAR(F11, U11, J11, K11, M11,N11))</f>
        <v/>
      </c>
      <c r="R11" s="254" t="str">
        <f xml:space="preserve"> vbaIsZero(CalcTUR(F11, U11, J11, K11, P11))</f>
        <v/>
      </c>
      <c r="S11" s="117"/>
      <c r="T11" s="122"/>
      <c r="U11" s="119"/>
      <c r="V11" s="119"/>
      <c r="W11" s="123"/>
      <c r="X11" s="57" t="str">
        <f xml:space="preserve"> vbaIsError(PFAmgr(F11, U11, J11, K11,O11, $AC$1, R11, $AC$2 ))</f>
        <v/>
      </c>
      <c r="Y11" s="57" t="str">
        <f xml:space="preserve"> vbaIsError(PFRmgr(F11, U11, J11, K11,O11, $AC$1, R11, $AC$2 ))</f>
        <v/>
      </c>
      <c r="Z11" s="57" t="str">
        <f xml:space="preserve"> vbaIsError(GBMultmgr($AA$1, F11, U11, J11, K11,AA11,AB11))</f>
        <v/>
      </c>
      <c r="AA11" s="72" t="str">
        <f xml:space="preserve"> vbaIsError(ResDwn(GBLowMgr($AA$1, F11, U11, J11, K11,O11, $AA$2 ), FC11))</f>
        <v/>
      </c>
      <c r="AB11" s="72" t="str">
        <f xml:space="preserve"> vbaIsError(ResUp(GBUpMgr($AA$1, F11, U11, J11, K11,O11, $AA$2 ), FC11))</f>
        <v/>
      </c>
      <c r="AC11" s="57" t="str">
        <f xml:space="preserve"> vbaIsError(PFAWGBmgr(F11, U11, J11, K11,O11,$AA$2,AA11,AB11))</f>
        <v/>
      </c>
      <c r="AD11" s="57" t="str">
        <f xml:space="preserve"> vbaIsError(PFRWGBmgr(F11, U11, J11, K11,O11,$AA$2,AA11,AB11))</f>
        <v/>
      </c>
      <c r="AE11" s="254" t="str">
        <f xml:space="preserve"> vbaIsError(CalIntwGBMgr(F11,U11,J11,K11,O11,$AA$2,$AC$1,AA11,AB11,R11,$AC$2,$AA$3))</f>
        <v/>
      </c>
      <c r="AF11" s="260" t="str">
        <f xml:space="preserve"> vbaIsError(CalIntMgr(F11,U11,J11,K11,O11,$AA$2,$AC$1,R11,$AC$2,$AA$3,$AA$1))</f>
        <v/>
      </c>
      <c r="AG11" s="57" t="str">
        <f xml:space="preserve"> vbaIsError(CalRelMgr(F11,U11,J11,K11,O11,$AA$2,$AC$1,R11,$AC$2,$AA$3,$AA$1))</f>
        <v/>
      </c>
      <c r="AH11" s="256"/>
      <c r="AI11" s="3"/>
      <c r="AJ11" s="4"/>
      <c r="AK11" s="5"/>
      <c r="AL11" s="4"/>
      <c r="AM11" s="4"/>
      <c r="AN11" s="3"/>
      <c r="AO11" s="5"/>
      <c r="AP11" s="3"/>
      <c r="AQ11" s="4"/>
      <c r="AR11" s="5"/>
      <c r="AS11" s="4"/>
      <c r="AT11" s="4"/>
      <c r="AU11" s="3"/>
      <c r="AV11" s="5"/>
      <c r="AW11" s="3"/>
      <c r="AX11" s="4"/>
      <c r="AY11" s="5"/>
      <c r="AZ11" s="4"/>
      <c r="BA11" s="4"/>
      <c r="BB11" s="3"/>
      <c r="BC11" s="5"/>
      <c r="BD11" s="3"/>
      <c r="BE11" s="4"/>
      <c r="BF11" s="5"/>
      <c r="BG11" s="4"/>
      <c r="BH11" s="4"/>
      <c r="BI11" s="3"/>
      <c r="BJ11" s="5"/>
      <c r="BK11" s="3"/>
      <c r="BL11" s="4"/>
      <c r="BM11" s="5"/>
      <c r="BN11" s="4"/>
      <c r="BO11" s="4"/>
      <c r="BP11" s="3"/>
      <c r="BQ11" s="5"/>
      <c r="BR11" s="3"/>
      <c r="BS11" s="4"/>
      <c r="BT11" s="5"/>
      <c r="BU11" s="4"/>
      <c r="BV11" s="4"/>
      <c r="BW11" s="3"/>
      <c r="BX11" s="5"/>
      <c r="BY11" s="3"/>
      <c r="BZ11" s="4"/>
      <c r="CA11" s="5"/>
      <c r="CB11" s="4"/>
      <c r="CC11" s="4"/>
      <c r="CD11" s="3"/>
      <c r="CE11" s="5"/>
      <c r="CF11" s="3"/>
      <c r="CG11" s="4"/>
      <c r="CH11" s="5"/>
      <c r="CI11" s="4"/>
      <c r="CJ11" s="4"/>
      <c r="CK11" s="3"/>
      <c r="CL11" s="5"/>
      <c r="CM11" s="3"/>
      <c r="CN11" s="4"/>
      <c r="CO11" s="5"/>
      <c r="CP11" s="4"/>
      <c r="CQ11" s="4"/>
      <c r="CR11" s="3"/>
      <c r="CS11" s="5"/>
      <c r="CT11" s="3"/>
      <c r="CU11" s="4"/>
      <c r="CV11" s="5"/>
      <c r="CW11" s="4"/>
      <c r="CX11" s="4"/>
      <c r="CY11" s="3"/>
      <c r="CZ11" s="5"/>
      <c r="DA11" s="3"/>
      <c r="DB11" s="4"/>
      <c r="DC11" s="5"/>
      <c r="DD11" s="4"/>
      <c r="DE11" s="4"/>
      <c r="DF11" s="3"/>
      <c r="DG11" s="5"/>
      <c r="DH11" s="3"/>
      <c r="DI11" s="4"/>
      <c r="DJ11" s="5"/>
      <c r="DK11" s="4"/>
      <c r="DL11" s="4"/>
      <c r="DM11" s="3"/>
      <c r="DN11" s="5"/>
      <c r="DO11" s="3"/>
      <c r="DP11" s="4"/>
      <c r="DQ11" s="5"/>
      <c r="DR11" s="4"/>
      <c r="DS11" s="4"/>
      <c r="DT11" s="3"/>
      <c r="DU11" s="5"/>
      <c r="DV11" s="3"/>
      <c r="DW11" s="4"/>
      <c r="DX11" s="5"/>
      <c r="DY11" s="4"/>
      <c r="DZ11" s="4"/>
      <c r="EA11" s="3"/>
      <c r="EB11" s="5"/>
      <c r="EC11" s="3"/>
      <c r="ED11" s="4"/>
      <c r="EE11" s="5"/>
      <c r="EF11" s="4"/>
      <c r="EG11" s="4"/>
      <c r="EH11" s="3"/>
      <c r="EI11" s="5"/>
      <c r="EJ11" s="3"/>
      <c r="EK11" s="3"/>
      <c r="EL11" s="116"/>
      <c r="EM11" s="25"/>
      <c r="EO11" s="119"/>
      <c r="EP11" s="119"/>
      <c r="EQ11" s="119"/>
      <c r="ER11" s="120"/>
      <c r="ES11" s="119"/>
      <c r="ET11" s="119"/>
      <c r="EU11" s="120"/>
      <c r="EV11" s="119"/>
      <c r="EW11" s="119"/>
      <c r="EX11" s="120"/>
      <c r="EY11" s="120"/>
      <c r="EZ11" s="119"/>
      <c r="FA11" s="119"/>
      <c r="FB11" s="120"/>
      <c r="FC11" s="119"/>
      <c r="FD11" s="119"/>
      <c r="FE11" s="119"/>
      <c r="FF11" s="119"/>
      <c r="FG11" s="120"/>
      <c r="FH11" s="119"/>
      <c r="FI11" s="119"/>
      <c r="FJ11" s="120"/>
      <c r="FK11" s="119"/>
      <c r="FL11" s="119"/>
      <c r="FM11" s="120"/>
      <c r="FN11" s="120"/>
      <c r="FO11" s="119"/>
      <c r="FP11" s="119"/>
      <c r="FQ11" s="120"/>
      <c r="FR11" s="119"/>
      <c r="FS11" s="121"/>
      <c r="FT11" s="121"/>
      <c r="FU11" s="121"/>
      <c r="FV11" s="121"/>
      <c r="FW11" s="121"/>
      <c r="FX11" s="121"/>
      <c r="FY11" s="121"/>
      <c r="FZ11" s="121"/>
      <c r="GA11" s="121"/>
      <c r="GB11" s="121"/>
      <c r="GC11" s="121"/>
      <c r="GD11" s="121"/>
      <c r="GE11" s="121"/>
      <c r="GF11" s="121"/>
      <c r="GG11" s="121"/>
      <c r="GI11" s="121"/>
      <c r="GJ11" s="121"/>
      <c r="GK11" s="121"/>
      <c r="GL11" s="121"/>
      <c r="GM11" s="121"/>
      <c r="GN11" s="121"/>
      <c r="GO11" s="121"/>
      <c r="GP11" s="121"/>
      <c r="GQ11" s="121"/>
      <c r="GR11" s="121"/>
      <c r="GS11" s="121"/>
      <c r="GT11" s="121"/>
      <c r="GU11" s="121"/>
      <c r="GV11" s="121"/>
      <c r="GW11" s="121"/>
      <c r="GX11" s="121"/>
      <c r="GZ11" s="119"/>
      <c r="HA11" s="119"/>
      <c r="HB11" s="119"/>
      <c r="HC11" s="120"/>
      <c r="HD11" s="119"/>
      <c r="HE11" s="119"/>
      <c r="HF11" s="120"/>
      <c r="HG11" s="119"/>
      <c r="HH11" s="119"/>
      <c r="HI11" s="120"/>
      <c r="HJ11" s="120"/>
      <c r="HK11" s="119"/>
      <c r="HL11" s="119"/>
      <c r="HM11" s="120"/>
      <c r="HN11" s="119"/>
      <c r="HO11" s="119"/>
      <c r="HP11" s="119"/>
      <c r="HQ11" s="120"/>
      <c r="HR11" s="119"/>
      <c r="HS11" s="119"/>
      <c r="HT11" s="120"/>
      <c r="HU11" s="119"/>
      <c r="HV11" s="119"/>
      <c r="HW11" s="120"/>
      <c r="HX11" s="120"/>
      <c r="HY11" s="119"/>
      <c r="HZ11" s="119"/>
      <c r="IA11" s="120"/>
      <c r="IB11" s="119"/>
      <c r="IC11" s="119"/>
      <c r="ID11" s="119"/>
      <c r="IE11" s="120"/>
      <c r="IF11" s="119"/>
      <c r="IG11" s="119"/>
      <c r="IH11" s="120"/>
      <c r="II11" s="119"/>
      <c r="IJ11" s="119"/>
      <c r="IK11" s="120"/>
      <c r="IL11" s="120"/>
      <c r="IM11" s="119"/>
      <c r="IN11" s="119"/>
      <c r="IO11" s="120"/>
      <c r="IP11" s="119"/>
      <c r="IQ11" s="119"/>
      <c r="IR11" s="119"/>
      <c r="IS11" s="120"/>
      <c r="IT11" s="119"/>
      <c r="IU11" s="119"/>
      <c r="IV11" s="120"/>
      <c r="IW11" s="119"/>
      <c r="IX11" s="119"/>
      <c r="IY11" s="120"/>
      <c r="IZ11" s="120"/>
      <c r="JA11" s="119"/>
      <c r="JB11" s="119"/>
      <c r="JC11" s="120"/>
      <c r="JD11" s="119"/>
      <c r="JE11" s="119"/>
      <c r="JF11" s="119"/>
      <c r="JG11" s="120"/>
      <c r="JH11" s="119"/>
      <c r="JI11" s="119"/>
      <c r="JJ11" s="120"/>
      <c r="JK11" s="119"/>
      <c r="JL11" s="119"/>
      <c r="JM11" s="120"/>
      <c r="JN11" s="120"/>
      <c r="JO11" s="119"/>
      <c r="JP11" s="119"/>
      <c r="JQ11" s="120"/>
      <c r="JR11" s="119"/>
      <c r="JS11" s="119"/>
      <c r="JT11" s="119"/>
      <c r="JU11" s="120"/>
      <c r="JV11" s="119"/>
      <c r="JW11" s="119"/>
      <c r="JX11" s="120"/>
      <c r="JY11" s="119"/>
      <c r="JZ11" s="119"/>
      <c r="KA11" s="120"/>
      <c r="KB11" s="120"/>
      <c r="KC11" s="119"/>
      <c r="KD11" s="119"/>
      <c r="KE11" s="120"/>
      <c r="KF11" s="119"/>
      <c r="KG11" s="119"/>
      <c r="KH11" s="119"/>
      <c r="KI11" s="120"/>
      <c r="KJ11" s="119"/>
      <c r="KK11" s="119"/>
      <c r="KL11" s="120"/>
      <c r="KM11" s="119"/>
      <c r="KN11" s="119"/>
      <c r="KO11" s="120"/>
      <c r="KP11" s="120"/>
      <c r="KQ11" s="119"/>
      <c r="KR11" s="119"/>
      <c r="KS11" s="120"/>
      <c r="KT11" s="119"/>
      <c r="KU11" s="119"/>
      <c r="KV11" s="119"/>
      <c r="KW11" s="120"/>
      <c r="KX11" s="119"/>
      <c r="KY11" s="119"/>
      <c r="KZ11" s="120"/>
      <c r="LA11" s="119"/>
      <c r="LB11" s="119"/>
      <c r="LC11" s="120"/>
      <c r="LD11" s="120"/>
      <c r="LE11" s="119"/>
      <c r="LF11" s="119"/>
      <c r="LG11" s="120"/>
      <c r="LH11" s="119"/>
      <c r="LI11" s="119"/>
      <c r="LJ11" s="119"/>
      <c r="LK11" s="120"/>
      <c r="LL11" s="119"/>
      <c r="LM11" s="119"/>
      <c r="LN11" s="120"/>
      <c r="LO11" s="119"/>
      <c r="LP11" s="119"/>
      <c r="LQ11" s="120"/>
      <c r="LR11" s="120"/>
      <c r="LS11" s="119"/>
      <c r="LT11" s="119"/>
      <c r="LU11" s="120"/>
      <c r="LV11" s="119"/>
      <c r="LW11" s="119"/>
      <c r="LX11" s="119"/>
      <c r="LY11" s="120"/>
      <c r="LZ11" s="119"/>
      <c r="MA11" s="119"/>
      <c r="MB11" s="120"/>
      <c r="MC11" s="119"/>
      <c r="MD11" s="119"/>
      <c r="ME11" s="120"/>
      <c r="MF11" s="120"/>
      <c r="MG11" s="119"/>
      <c r="MH11" s="119"/>
      <c r="MI11" s="120"/>
      <c r="MJ11" s="119"/>
      <c r="MK11" s="119"/>
      <c r="ML11" s="119"/>
      <c r="MM11" s="120"/>
      <c r="MN11" s="119"/>
      <c r="MO11" s="119"/>
      <c r="MP11" s="120"/>
      <c r="MQ11" s="119"/>
      <c r="MR11" s="119"/>
      <c r="MS11" s="120"/>
      <c r="MT11" s="120"/>
      <c r="MU11" s="119"/>
      <c r="MV11" s="119"/>
      <c r="MW11" s="120"/>
      <c r="MX11" s="119"/>
      <c r="MY11" s="119"/>
      <c r="MZ11" s="119"/>
      <c r="NA11" s="120"/>
      <c r="NB11" s="119"/>
      <c r="NC11" s="119"/>
      <c r="ND11" s="120"/>
      <c r="NE11" s="119"/>
      <c r="NF11" s="119"/>
      <c r="NG11" s="120"/>
      <c r="NH11" s="120"/>
      <c r="NI11" s="119"/>
      <c r="NJ11" s="119"/>
      <c r="NK11" s="120"/>
      <c r="NL11" s="119"/>
      <c r="NM11" s="119"/>
      <c r="NN11" s="119"/>
      <c r="NO11" s="120"/>
      <c r="NP11" s="119"/>
      <c r="NQ11" s="119"/>
      <c r="NR11" s="120"/>
      <c r="NS11" s="119"/>
      <c r="NT11" s="119"/>
      <c r="NU11" s="120"/>
      <c r="NV11" s="120"/>
      <c r="NW11" s="119"/>
      <c r="NX11" s="119"/>
      <c r="NY11" s="120"/>
      <c r="NZ11" s="119"/>
      <c r="OA11" s="119"/>
      <c r="OB11" s="119"/>
      <c r="OC11" s="120"/>
      <c r="OD11" s="119"/>
      <c r="OE11" s="119"/>
      <c r="OF11" s="120"/>
      <c r="OG11" s="119"/>
      <c r="OH11" s="119"/>
      <c r="OI11" s="120"/>
      <c r="OJ11" s="120"/>
      <c r="OK11" s="119"/>
      <c r="OL11" s="119"/>
      <c r="OM11" s="120"/>
      <c r="ON11" s="119"/>
      <c r="OO11" s="119"/>
      <c r="OP11" s="119"/>
      <c r="OQ11" s="120"/>
      <c r="OR11" s="119"/>
      <c r="OS11" s="119"/>
      <c r="OT11" s="120"/>
      <c r="OU11" s="119"/>
      <c r="OV11" s="119"/>
      <c r="OW11" s="120"/>
      <c r="OX11" s="120"/>
      <c r="OY11" s="119"/>
      <c r="OZ11" s="119"/>
      <c r="PA11" s="120"/>
      <c r="PC11" s="120"/>
      <c r="PD11" s="120"/>
      <c r="PE11" s="272"/>
      <c r="PF11" s="120"/>
      <c r="PG11" s="121"/>
      <c r="PH11" s="121"/>
      <c r="PI11" s="121"/>
      <c r="PJ11" s="121"/>
      <c r="PK11" s="121"/>
      <c r="PL11" s="121"/>
      <c r="PM11" s="121"/>
      <c r="PN11" s="121"/>
      <c r="PO11" s="121"/>
      <c r="PP11" s="121"/>
      <c r="PQ11" s="121"/>
      <c r="PR11" s="121"/>
      <c r="PS11" s="121"/>
      <c r="PT11" s="121"/>
      <c r="PU11" s="121"/>
    </row>
    <row r="12" spans="1:437" ht="40.700000000000003" customHeight="1" x14ac:dyDescent="0.2">
      <c r="A12" s="117"/>
      <c r="B12" s="118"/>
      <c r="C12" s="118"/>
      <c r="D12" s="118"/>
      <c r="E12" s="118"/>
      <c r="F12" s="118"/>
      <c r="G12" s="118"/>
      <c r="H12" s="118"/>
      <c r="I12" s="118"/>
      <c r="J12" s="118"/>
      <c r="K12" s="118"/>
      <c r="L12" s="118"/>
      <c r="M12" s="257"/>
      <c r="N12" s="257"/>
      <c r="O12" s="257"/>
      <c r="P12" s="118"/>
      <c r="Q12" s="253" t="str">
        <f xml:space="preserve"> vbaIsZero(CalcTAR(F12, U12, J12, K12, M12,N12))</f>
        <v/>
      </c>
      <c r="R12" s="254" t="str">
        <f xml:space="preserve"> vbaIsZero(CalcTUR(F12, U12, J12, K12, P12))</f>
        <v/>
      </c>
      <c r="S12" s="117"/>
      <c r="T12" s="122"/>
      <c r="U12" s="119"/>
      <c r="V12" s="119"/>
      <c r="W12" s="123"/>
      <c r="X12" s="57" t="str">
        <f xml:space="preserve"> vbaIsError(PFAmgr(F12, U12, J12, K12,O12, $AC$1, R12, $AC$2 ))</f>
        <v/>
      </c>
      <c r="Y12" s="57" t="str">
        <f xml:space="preserve"> vbaIsError(PFRmgr(F12, U12, J12, K12,O12, $AC$1, R12, $AC$2 ))</f>
        <v/>
      </c>
      <c r="Z12" s="57" t="str">
        <f xml:space="preserve"> vbaIsError(GBMultmgr($AA$1, F12, U12, J12, K12,AA12,AB12))</f>
        <v/>
      </c>
      <c r="AA12" s="72" t="str">
        <f xml:space="preserve"> vbaIsError(ResDwn(GBLowMgr($AA$1, F12, U12, J12, K12,O12, $AA$2 ), FC12))</f>
        <v/>
      </c>
      <c r="AB12" s="72" t="str">
        <f xml:space="preserve"> vbaIsError(ResUp(GBUpMgr($AA$1, F12, U12, J12, K12,O12, $AA$2 ), FC12))</f>
        <v/>
      </c>
      <c r="AC12" s="57" t="str">
        <f xml:space="preserve"> vbaIsError(PFAWGBmgr(F12, U12, J12, K12,O12,$AA$2,AA12,AB12))</f>
        <v/>
      </c>
      <c r="AD12" s="57" t="str">
        <f xml:space="preserve"> vbaIsError(PFRWGBmgr(F12, U12, J12, K12,O12,$AA$2,AA12,AB12))</f>
        <v/>
      </c>
      <c r="AE12" s="254" t="str">
        <f xml:space="preserve"> vbaIsError(CalIntwGBMgr(F12,U12,J12,K12,O12,$AA$2,$AC$1,AA12,AB12,R12,$AC$2,$AA$3))</f>
        <v/>
      </c>
      <c r="AF12" s="260" t="str">
        <f xml:space="preserve"> vbaIsError(CalIntMgr(F12,U12,J12,K12,O12,$AA$2,$AC$1,R12,$AC$2,$AA$3,$AA$1))</f>
        <v/>
      </c>
      <c r="AG12" s="57" t="str">
        <f xml:space="preserve"> vbaIsError(CalRelMgr(F12,U12,J12,K12,O12,$AA$2,$AC$1,R12,$AC$2,$AA$3,$AA$1))</f>
        <v/>
      </c>
      <c r="AH12" s="256"/>
      <c r="AI12" s="3"/>
      <c r="AJ12" s="4"/>
      <c r="AK12" s="5"/>
      <c r="AL12" s="4"/>
      <c r="AM12" s="4"/>
      <c r="AN12" s="3"/>
      <c r="AO12" s="5"/>
      <c r="AP12" s="3"/>
      <c r="AQ12" s="4"/>
      <c r="AR12" s="5"/>
      <c r="AS12" s="4"/>
      <c r="AT12" s="4"/>
      <c r="AU12" s="3"/>
      <c r="AV12" s="5"/>
      <c r="AW12" s="3"/>
      <c r="AX12" s="4"/>
      <c r="AY12" s="5"/>
      <c r="AZ12" s="4"/>
      <c r="BA12" s="4"/>
      <c r="BB12" s="3"/>
      <c r="BC12" s="5"/>
      <c r="BD12" s="3"/>
      <c r="BE12" s="4"/>
      <c r="BF12" s="5"/>
      <c r="BG12" s="4"/>
      <c r="BH12" s="4"/>
      <c r="BI12" s="3"/>
      <c r="BJ12" s="5"/>
      <c r="BK12" s="3"/>
      <c r="BL12" s="4"/>
      <c r="BM12" s="5"/>
      <c r="BN12" s="4"/>
      <c r="BO12" s="4"/>
      <c r="BP12" s="3"/>
      <c r="BQ12" s="5"/>
      <c r="BR12" s="3"/>
      <c r="BS12" s="4"/>
      <c r="BT12" s="5"/>
      <c r="BU12" s="4"/>
      <c r="BV12" s="4"/>
      <c r="BW12" s="3"/>
      <c r="BX12" s="5"/>
      <c r="BY12" s="3"/>
      <c r="BZ12" s="4"/>
      <c r="CA12" s="5"/>
      <c r="CB12" s="4"/>
      <c r="CC12" s="4"/>
      <c r="CD12" s="3"/>
      <c r="CE12" s="5"/>
      <c r="CF12" s="3"/>
      <c r="CG12" s="4"/>
      <c r="CH12" s="5"/>
      <c r="CI12" s="4"/>
      <c r="CJ12" s="4"/>
      <c r="CK12" s="3"/>
      <c r="CL12" s="5"/>
      <c r="CM12" s="3"/>
      <c r="CN12" s="4"/>
      <c r="CO12" s="5"/>
      <c r="CP12" s="4"/>
      <c r="CQ12" s="4"/>
      <c r="CR12" s="3"/>
      <c r="CS12" s="5"/>
      <c r="CT12" s="3"/>
      <c r="CU12" s="4"/>
      <c r="CV12" s="5"/>
      <c r="CW12" s="4"/>
      <c r="CX12" s="4"/>
      <c r="CY12" s="3"/>
      <c r="CZ12" s="5"/>
      <c r="DA12" s="3"/>
      <c r="DB12" s="4"/>
      <c r="DC12" s="5"/>
      <c r="DD12" s="4"/>
      <c r="DE12" s="4"/>
      <c r="DF12" s="3"/>
      <c r="DG12" s="5"/>
      <c r="DH12" s="3"/>
      <c r="DI12" s="4"/>
      <c r="DJ12" s="5"/>
      <c r="DK12" s="4"/>
      <c r="DL12" s="4"/>
      <c r="DM12" s="3"/>
      <c r="DN12" s="5"/>
      <c r="DO12" s="3"/>
      <c r="DP12" s="4"/>
      <c r="DQ12" s="5"/>
      <c r="DR12" s="4"/>
      <c r="DS12" s="4"/>
      <c r="DT12" s="3"/>
      <c r="DU12" s="5"/>
      <c r="DV12" s="3"/>
      <c r="DW12" s="4"/>
      <c r="DX12" s="5"/>
      <c r="DY12" s="4"/>
      <c r="DZ12" s="4"/>
      <c r="EA12" s="3"/>
      <c r="EB12" s="5"/>
      <c r="EC12" s="3"/>
      <c r="ED12" s="4"/>
      <c r="EE12" s="5"/>
      <c r="EF12" s="4"/>
      <c r="EG12" s="4"/>
      <c r="EH12" s="3"/>
      <c r="EI12" s="5"/>
      <c r="EJ12" s="3"/>
      <c r="EK12" s="3"/>
      <c r="EL12" s="116"/>
      <c r="EM12" s="25"/>
      <c r="EO12" s="119"/>
      <c r="EP12" s="119"/>
      <c r="EQ12" s="119"/>
      <c r="ER12" s="120"/>
      <c r="ES12" s="119"/>
      <c r="ET12" s="119"/>
      <c r="EU12" s="120"/>
      <c r="EV12" s="119"/>
      <c r="EW12" s="119"/>
      <c r="EX12" s="120"/>
      <c r="EY12" s="120"/>
      <c r="EZ12" s="119"/>
      <c r="FA12" s="119"/>
      <c r="FB12" s="120"/>
      <c r="FC12" s="119"/>
      <c r="FD12" s="119"/>
      <c r="FE12" s="119"/>
      <c r="FF12" s="119"/>
      <c r="FG12" s="120"/>
      <c r="FH12" s="119"/>
      <c r="FI12" s="119"/>
      <c r="FJ12" s="120"/>
      <c r="FK12" s="119"/>
      <c r="FL12" s="119"/>
      <c r="FM12" s="120"/>
      <c r="FN12" s="120"/>
      <c r="FO12" s="119"/>
      <c r="FP12" s="119"/>
      <c r="FQ12" s="120"/>
      <c r="FR12" s="119"/>
      <c r="FS12" s="121"/>
      <c r="FT12" s="121"/>
      <c r="FU12" s="121"/>
      <c r="FV12" s="121"/>
      <c r="FW12" s="121"/>
      <c r="FX12" s="121"/>
      <c r="FY12" s="121"/>
      <c r="FZ12" s="121"/>
      <c r="GA12" s="121"/>
      <c r="GB12" s="121"/>
      <c r="GC12" s="121"/>
      <c r="GD12" s="121"/>
      <c r="GE12" s="121"/>
      <c r="GF12" s="121"/>
      <c r="GG12" s="121"/>
      <c r="GI12" s="121"/>
      <c r="GJ12" s="121"/>
      <c r="GK12" s="121"/>
      <c r="GL12" s="121"/>
      <c r="GM12" s="121"/>
      <c r="GN12" s="121"/>
      <c r="GO12" s="121"/>
      <c r="GP12" s="121"/>
      <c r="GQ12" s="121"/>
      <c r="GR12" s="121"/>
      <c r="GS12" s="121"/>
      <c r="GT12" s="121"/>
      <c r="GU12" s="121"/>
      <c r="GV12" s="121"/>
      <c r="GW12" s="121"/>
      <c r="GX12" s="121"/>
      <c r="GZ12" s="119"/>
      <c r="HA12" s="119"/>
      <c r="HB12" s="119"/>
      <c r="HC12" s="120"/>
      <c r="HD12" s="119"/>
      <c r="HE12" s="119"/>
      <c r="HF12" s="120"/>
      <c r="HG12" s="119"/>
      <c r="HH12" s="119"/>
      <c r="HI12" s="120"/>
      <c r="HJ12" s="120"/>
      <c r="HK12" s="119"/>
      <c r="HL12" s="119"/>
      <c r="HM12" s="120"/>
      <c r="HN12" s="119"/>
      <c r="HO12" s="119"/>
      <c r="HP12" s="119"/>
      <c r="HQ12" s="120"/>
      <c r="HR12" s="119"/>
      <c r="HS12" s="119"/>
      <c r="HT12" s="120"/>
      <c r="HU12" s="119"/>
      <c r="HV12" s="119"/>
      <c r="HW12" s="120"/>
      <c r="HX12" s="120"/>
      <c r="HY12" s="119"/>
      <c r="HZ12" s="119"/>
      <c r="IA12" s="120"/>
      <c r="IB12" s="119"/>
      <c r="IC12" s="119"/>
      <c r="ID12" s="119"/>
      <c r="IE12" s="120"/>
      <c r="IF12" s="119"/>
      <c r="IG12" s="119"/>
      <c r="IH12" s="120"/>
      <c r="II12" s="119"/>
      <c r="IJ12" s="119"/>
      <c r="IK12" s="120"/>
      <c r="IL12" s="120"/>
      <c r="IM12" s="119"/>
      <c r="IN12" s="119"/>
      <c r="IO12" s="120"/>
      <c r="IP12" s="119"/>
      <c r="IQ12" s="119"/>
      <c r="IR12" s="119"/>
      <c r="IS12" s="120"/>
      <c r="IT12" s="119"/>
      <c r="IU12" s="119"/>
      <c r="IV12" s="120"/>
      <c r="IW12" s="119"/>
      <c r="IX12" s="119"/>
      <c r="IY12" s="120"/>
      <c r="IZ12" s="120"/>
      <c r="JA12" s="119"/>
      <c r="JB12" s="119"/>
      <c r="JC12" s="120"/>
      <c r="JD12" s="119"/>
      <c r="JE12" s="119"/>
      <c r="JF12" s="119"/>
      <c r="JG12" s="120"/>
      <c r="JH12" s="119"/>
      <c r="JI12" s="119"/>
      <c r="JJ12" s="120"/>
      <c r="JK12" s="119"/>
      <c r="JL12" s="119"/>
      <c r="JM12" s="120"/>
      <c r="JN12" s="120"/>
      <c r="JO12" s="119"/>
      <c r="JP12" s="119"/>
      <c r="JQ12" s="120"/>
      <c r="JR12" s="119"/>
      <c r="JS12" s="119"/>
      <c r="JT12" s="119"/>
      <c r="JU12" s="120"/>
      <c r="JV12" s="119"/>
      <c r="JW12" s="119"/>
      <c r="JX12" s="120"/>
      <c r="JY12" s="119"/>
      <c r="JZ12" s="119"/>
      <c r="KA12" s="120"/>
      <c r="KB12" s="120"/>
      <c r="KC12" s="119"/>
      <c r="KD12" s="119"/>
      <c r="KE12" s="120"/>
      <c r="KF12" s="119"/>
      <c r="KG12" s="119"/>
      <c r="KH12" s="119"/>
      <c r="KI12" s="120"/>
      <c r="KJ12" s="119"/>
      <c r="KK12" s="119"/>
      <c r="KL12" s="120"/>
      <c r="KM12" s="119"/>
      <c r="KN12" s="119"/>
      <c r="KO12" s="120"/>
      <c r="KP12" s="120"/>
      <c r="KQ12" s="119"/>
      <c r="KR12" s="119"/>
      <c r="KS12" s="120"/>
      <c r="KT12" s="119"/>
      <c r="KU12" s="119"/>
      <c r="KV12" s="119"/>
      <c r="KW12" s="120"/>
      <c r="KX12" s="119"/>
      <c r="KY12" s="119"/>
      <c r="KZ12" s="120"/>
      <c r="LA12" s="119"/>
      <c r="LB12" s="119"/>
      <c r="LC12" s="120"/>
      <c r="LD12" s="120"/>
      <c r="LE12" s="119"/>
      <c r="LF12" s="119"/>
      <c r="LG12" s="120"/>
      <c r="LH12" s="119"/>
      <c r="LI12" s="119"/>
      <c r="LJ12" s="119"/>
      <c r="LK12" s="120"/>
      <c r="LL12" s="119"/>
      <c r="LM12" s="119"/>
      <c r="LN12" s="120"/>
      <c r="LO12" s="119"/>
      <c r="LP12" s="119"/>
      <c r="LQ12" s="120"/>
      <c r="LR12" s="120"/>
      <c r="LS12" s="119"/>
      <c r="LT12" s="119"/>
      <c r="LU12" s="120"/>
      <c r="LV12" s="119"/>
      <c r="LW12" s="119"/>
      <c r="LX12" s="119"/>
      <c r="LY12" s="120"/>
      <c r="LZ12" s="119"/>
      <c r="MA12" s="119"/>
      <c r="MB12" s="120"/>
      <c r="MC12" s="119"/>
      <c r="MD12" s="119"/>
      <c r="ME12" s="120"/>
      <c r="MF12" s="120"/>
      <c r="MG12" s="119"/>
      <c r="MH12" s="119"/>
      <c r="MI12" s="120"/>
      <c r="MJ12" s="119"/>
      <c r="MK12" s="119"/>
      <c r="ML12" s="119"/>
      <c r="MM12" s="120"/>
      <c r="MN12" s="119"/>
      <c r="MO12" s="119"/>
      <c r="MP12" s="120"/>
      <c r="MQ12" s="119"/>
      <c r="MR12" s="119"/>
      <c r="MS12" s="120"/>
      <c r="MT12" s="120"/>
      <c r="MU12" s="119"/>
      <c r="MV12" s="119"/>
      <c r="MW12" s="120"/>
      <c r="MX12" s="119"/>
      <c r="MY12" s="119"/>
      <c r="MZ12" s="119"/>
      <c r="NA12" s="120"/>
      <c r="NB12" s="119"/>
      <c r="NC12" s="119"/>
      <c r="ND12" s="120"/>
      <c r="NE12" s="119"/>
      <c r="NF12" s="119"/>
      <c r="NG12" s="120"/>
      <c r="NH12" s="120"/>
      <c r="NI12" s="119"/>
      <c r="NJ12" s="119"/>
      <c r="NK12" s="120"/>
      <c r="NL12" s="119"/>
      <c r="NM12" s="119"/>
      <c r="NN12" s="119"/>
      <c r="NO12" s="120"/>
      <c r="NP12" s="119"/>
      <c r="NQ12" s="119"/>
      <c r="NR12" s="120"/>
      <c r="NS12" s="119"/>
      <c r="NT12" s="119"/>
      <c r="NU12" s="120"/>
      <c r="NV12" s="120"/>
      <c r="NW12" s="119"/>
      <c r="NX12" s="119"/>
      <c r="NY12" s="120"/>
      <c r="NZ12" s="119"/>
      <c r="OA12" s="119"/>
      <c r="OB12" s="119"/>
      <c r="OC12" s="120"/>
      <c r="OD12" s="119"/>
      <c r="OE12" s="119"/>
      <c r="OF12" s="120"/>
      <c r="OG12" s="119"/>
      <c r="OH12" s="119"/>
      <c r="OI12" s="120"/>
      <c r="OJ12" s="120"/>
      <c r="OK12" s="119"/>
      <c r="OL12" s="119"/>
      <c r="OM12" s="120"/>
      <c r="ON12" s="119"/>
      <c r="OO12" s="119"/>
      <c r="OP12" s="119"/>
      <c r="OQ12" s="120"/>
      <c r="OR12" s="119"/>
      <c r="OS12" s="119"/>
      <c r="OT12" s="120"/>
      <c r="OU12" s="119"/>
      <c r="OV12" s="119"/>
      <c r="OW12" s="120"/>
      <c r="OX12" s="120"/>
      <c r="OY12" s="119"/>
      <c r="OZ12" s="119"/>
      <c r="PA12" s="120"/>
      <c r="PC12" s="120"/>
      <c r="PD12" s="120"/>
      <c r="PE12" s="272"/>
      <c r="PF12" s="120"/>
      <c r="PG12" s="121"/>
      <c r="PH12" s="121"/>
      <c r="PI12" s="121"/>
      <c r="PJ12" s="121"/>
      <c r="PK12" s="121"/>
      <c r="PL12" s="121"/>
      <c r="PM12" s="121"/>
      <c r="PN12" s="121"/>
      <c r="PO12" s="121"/>
      <c r="PP12" s="121"/>
      <c r="PQ12" s="121"/>
      <c r="PR12" s="121"/>
      <c r="PS12" s="121"/>
      <c r="PT12" s="121"/>
      <c r="PU12" s="121"/>
    </row>
    <row r="13" spans="1:437" ht="40.700000000000003" customHeight="1" x14ac:dyDescent="0.2">
      <c r="A13" s="117"/>
      <c r="B13" s="118"/>
      <c r="C13" s="118"/>
      <c r="D13" s="118"/>
      <c r="E13" s="118"/>
      <c r="F13" s="118"/>
      <c r="G13" s="118"/>
      <c r="H13" s="118"/>
      <c r="I13" s="118"/>
      <c r="J13" s="118"/>
      <c r="K13" s="118"/>
      <c r="L13" s="118"/>
      <c r="M13" s="257"/>
      <c r="N13" s="257"/>
      <c r="O13" s="257"/>
      <c r="P13" s="118"/>
      <c r="Q13" s="253" t="str">
        <f xml:space="preserve"> vbaIsZero(CalcTAR(F13, U13, J13, K13, M13,N13))</f>
        <v/>
      </c>
      <c r="R13" s="254" t="str">
        <f xml:space="preserve"> vbaIsZero(CalcTUR(F13, U13, J13, K13, P13))</f>
        <v/>
      </c>
      <c r="S13" s="117"/>
      <c r="T13" s="122"/>
      <c r="U13" s="119"/>
      <c r="V13" s="119"/>
      <c r="W13" s="123"/>
      <c r="X13" s="57" t="str">
        <f xml:space="preserve"> vbaIsError(PFAmgr(F13, U13, J13, K13,O13, $AC$1, R13, $AC$2 ))</f>
        <v/>
      </c>
      <c r="Y13" s="57" t="str">
        <f xml:space="preserve"> vbaIsError(PFRmgr(F13, U13, J13, K13,O13, $AC$1, R13, $AC$2 ))</f>
        <v/>
      </c>
      <c r="Z13" s="57" t="str">
        <f xml:space="preserve"> vbaIsError(GBMultmgr($AA$1, F13, U13, J13, K13,AA13,AB13))</f>
        <v/>
      </c>
      <c r="AA13" s="72" t="str">
        <f xml:space="preserve"> vbaIsError(ResDwn(GBLowMgr($AA$1, F13, U13, J13, K13,O13, $AA$2 ), FC13))</f>
        <v/>
      </c>
      <c r="AB13" s="72" t="str">
        <f xml:space="preserve"> vbaIsError(ResUp(GBUpMgr($AA$1, F13, U13, J13, K13,O13, $AA$2 ), FC13))</f>
        <v/>
      </c>
      <c r="AC13" s="57" t="str">
        <f xml:space="preserve"> vbaIsError(PFAWGBmgr(F13, U13, J13, K13,O13,$AA$2,AA13,AB13))</f>
        <v/>
      </c>
      <c r="AD13" s="57" t="str">
        <f xml:space="preserve"> vbaIsError(PFRWGBmgr(F13, U13, J13, K13,O13,$AA$2,AA13,AB13))</f>
        <v/>
      </c>
      <c r="AE13" s="254" t="str">
        <f xml:space="preserve"> vbaIsError(CalIntwGBMgr(F13,U13,J13,K13,O13,$AA$2,$AC$1,AA13,AB13,R13,$AC$2,$AA$3))</f>
        <v/>
      </c>
      <c r="AF13" s="260" t="str">
        <f xml:space="preserve"> vbaIsError(CalIntMgr(F13,U13,J13,K13,O13,$AA$2,$AC$1,R13,$AC$2,$AA$3,$AA$1))</f>
        <v/>
      </c>
      <c r="AG13" s="57" t="str">
        <f xml:space="preserve"> vbaIsError(CalRelMgr(F13,U13,J13,K13,O13,$AA$2,$AC$1,R13,$AC$2,$AA$3,$AA$1))</f>
        <v/>
      </c>
      <c r="AH13" s="256"/>
      <c r="AI13" s="3"/>
      <c r="AJ13" s="4"/>
      <c r="AK13" s="5"/>
      <c r="AL13" s="4"/>
      <c r="AM13" s="4"/>
      <c r="AN13" s="3"/>
      <c r="AO13" s="5"/>
      <c r="AP13" s="3"/>
      <c r="AQ13" s="4"/>
      <c r="AR13" s="5"/>
      <c r="AS13" s="4"/>
      <c r="AT13" s="4"/>
      <c r="AU13" s="3"/>
      <c r="AV13" s="5"/>
      <c r="AW13" s="3"/>
      <c r="AX13" s="4"/>
      <c r="AY13" s="5"/>
      <c r="AZ13" s="4"/>
      <c r="BA13" s="4"/>
      <c r="BB13" s="3"/>
      <c r="BC13" s="5"/>
      <c r="BD13" s="3"/>
      <c r="BE13" s="4"/>
      <c r="BF13" s="5"/>
      <c r="BG13" s="4"/>
      <c r="BH13" s="4"/>
      <c r="BI13" s="3"/>
      <c r="BJ13" s="5"/>
      <c r="BK13" s="3"/>
      <c r="BL13" s="4"/>
      <c r="BM13" s="5"/>
      <c r="BN13" s="4"/>
      <c r="BO13" s="4"/>
      <c r="BP13" s="3"/>
      <c r="BQ13" s="5"/>
      <c r="BR13" s="3"/>
      <c r="BS13" s="4"/>
      <c r="BT13" s="5"/>
      <c r="BU13" s="4"/>
      <c r="BV13" s="4"/>
      <c r="BW13" s="3"/>
      <c r="BX13" s="5"/>
      <c r="BY13" s="3"/>
      <c r="BZ13" s="4"/>
      <c r="CA13" s="5"/>
      <c r="CB13" s="4"/>
      <c r="CC13" s="4"/>
      <c r="CD13" s="3"/>
      <c r="CE13" s="5"/>
      <c r="CF13" s="3"/>
      <c r="CG13" s="4"/>
      <c r="CH13" s="5"/>
      <c r="CI13" s="4"/>
      <c r="CJ13" s="4"/>
      <c r="CK13" s="3"/>
      <c r="CL13" s="5"/>
      <c r="CM13" s="3"/>
      <c r="CN13" s="4"/>
      <c r="CO13" s="5"/>
      <c r="CP13" s="4"/>
      <c r="CQ13" s="4"/>
      <c r="CR13" s="3"/>
      <c r="CS13" s="5"/>
      <c r="CT13" s="3"/>
      <c r="CU13" s="4"/>
      <c r="CV13" s="5"/>
      <c r="CW13" s="4"/>
      <c r="CX13" s="4"/>
      <c r="CY13" s="3"/>
      <c r="CZ13" s="5"/>
      <c r="DA13" s="3"/>
      <c r="DB13" s="4"/>
      <c r="DC13" s="5"/>
      <c r="DD13" s="4"/>
      <c r="DE13" s="4"/>
      <c r="DF13" s="3"/>
      <c r="DG13" s="5"/>
      <c r="DH13" s="3"/>
      <c r="DI13" s="4"/>
      <c r="DJ13" s="5"/>
      <c r="DK13" s="4"/>
      <c r="DL13" s="4"/>
      <c r="DM13" s="3"/>
      <c r="DN13" s="5"/>
      <c r="DO13" s="3"/>
      <c r="DP13" s="4"/>
      <c r="DQ13" s="5"/>
      <c r="DR13" s="4"/>
      <c r="DS13" s="4"/>
      <c r="DT13" s="3"/>
      <c r="DU13" s="5"/>
      <c r="DV13" s="3"/>
      <c r="DW13" s="4"/>
      <c r="DX13" s="5"/>
      <c r="DY13" s="4"/>
      <c r="DZ13" s="4"/>
      <c r="EA13" s="3"/>
      <c r="EB13" s="5"/>
      <c r="EC13" s="3"/>
      <c r="ED13" s="4"/>
      <c r="EE13" s="5"/>
      <c r="EF13" s="4"/>
      <c r="EG13" s="4"/>
      <c r="EH13" s="3"/>
      <c r="EI13" s="5"/>
      <c r="EJ13" s="3"/>
      <c r="EK13" s="3"/>
      <c r="EL13" s="116"/>
      <c r="EM13" s="25"/>
      <c r="EO13" s="119"/>
      <c r="EP13" s="119"/>
      <c r="EQ13" s="119"/>
      <c r="ER13" s="120"/>
      <c r="ES13" s="119"/>
      <c r="ET13" s="119"/>
      <c r="EU13" s="120"/>
      <c r="EV13" s="119"/>
      <c r="EW13" s="119"/>
      <c r="EX13" s="120"/>
      <c r="EY13" s="120"/>
      <c r="EZ13" s="119"/>
      <c r="FA13" s="119"/>
      <c r="FB13" s="120"/>
      <c r="FC13" s="119"/>
      <c r="FD13" s="119"/>
      <c r="FE13" s="119"/>
      <c r="FF13" s="119"/>
      <c r="FG13" s="120"/>
      <c r="FH13" s="119"/>
      <c r="FI13" s="119"/>
      <c r="FJ13" s="120"/>
      <c r="FK13" s="119"/>
      <c r="FL13" s="119"/>
      <c r="FM13" s="120"/>
      <c r="FN13" s="120"/>
      <c r="FO13" s="119"/>
      <c r="FP13" s="119"/>
      <c r="FQ13" s="120"/>
      <c r="FR13" s="119"/>
      <c r="FS13" s="121"/>
      <c r="FT13" s="121"/>
      <c r="FU13" s="121"/>
      <c r="FV13" s="121"/>
      <c r="FW13" s="121"/>
      <c r="FX13" s="121"/>
      <c r="FY13" s="121"/>
      <c r="FZ13" s="121"/>
      <c r="GA13" s="121"/>
      <c r="GB13" s="121"/>
      <c r="GC13" s="121"/>
      <c r="GD13" s="121"/>
      <c r="GE13" s="121"/>
      <c r="GF13" s="121"/>
      <c r="GG13" s="121"/>
      <c r="GI13" s="121"/>
      <c r="GJ13" s="121"/>
      <c r="GK13" s="121"/>
      <c r="GL13" s="121"/>
      <c r="GM13" s="121"/>
      <c r="GN13" s="121"/>
      <c r="GO13" s="121"/>
      <c r="GP13" s="121"/>
      <c r="GQ13" s="121"/>
      <c r="GR13" s="121"/>
      <c r="GS13" s="121"/>
      <c r="GT13" s="121"/>
      <c r="GU13" s="121"/>
      <c r="GV13" s="121"/>
      <c r="GW13" s="121"/>
      <c r="GX13" s="121"/>
      <c r="GZ13" s="119"/>
      <c r="HA13" s="119"/>
      <c r="HB13" s="119"/>
      <c r="HC13" s="120"/>
      <c r="HD13" s="119"/>
      <c r="HE13" s="119"/>
      <c r="HF13" s="120"/>
      <c r="HG13" s="119"/>
      <c r="HH13" s="119"/>
      <c r="HI13" s="120"/>
      <c r="HJ13" s="120"/>
      <c r="HK13" s="119"/>
      <c r="HL13" s="119"/>
      <c r="HM13" s="120"/>
      <c r="HN13" s="119"/>
      <c r="HO13" s="119"/>
      <c r="HP13" s="119"/>
      <c r="HQ13" s="120"/>
      <c r="HR13" s="119"/>
      <c r="HS13" s="119"/>
      <c r="HT13" s="120"/>
      <c r="HU13" s="119"/>
      <c r="HV13" s="119"/>
      <c r="HW13" s="120"/>
      <c r="HX13" s="120"/>
      <c r="HY13" s="119"/>
      <c r="HZ13" s="119"/>
      <c r="IA13" s="120"/>
      <c r="IB13" s="119"/>
      <c r="IC13" s="119"/>
      <c r="ID13" s="119"/>
      <c r="IE13" s="120"/>
      <c r="IF13" s="119"/>
      <c r="IG13" s="119"/>
      <c r="IH13" s="120"/>
      <c r="II13" s="119"/>
      <c r="IJ13" s="119"/>
      <c r="IK13" s="120"/>
      <c r="IL13" s="120"/>
      <c r="IM13" s="119"/>
      <c r="IN13" s="119"/>
      <c r="IO13" s="120"/>
      <c r="IP13" s="119"/>
      <c r="IQ13" s="119"/>
      <c r="IR13" s="119"/>
      <c r="IS13" s="120"/>
      <c r="IT13" s="119"/>
      <c r="IU13" s="119"/>
      <c r="IV13" s="120"/>
      <c r="IW13" s="119"/>
      <c r="IX13" s="119"/>
      <c r="IY13" s="120"/>
      <c r="IZ13" s="120"/>
      <c r="JA13" s="119"/>
      <c r="JB13" s="119"/>
      <c r="JC13" s="120"/>
      <c r="JD13" s="119"/>
      <c r="JE13" s="119"/>
      <c r="JF13" s="119"/>
      <c r="JG13" s="120"/>
      <c r="JH13" s="119"/>
      <c r="JI13" s="119"/>
      <c r="JJ13" s="120"/>
      <c r="JK13" s="119"/>
      <c r="JL13" s="119"/>
      <c r="JM13" s="120"/>
      <c r="JN13" s="120"/>
      <c r="JO13" s="119"/>
      <c r="JP13" s="119"/>
      <c r="JQ13" s="120"/>
      <c r="JR13" s="119"/>
      <c r="JS13" s="119"/>
      <c r="JT13" s="119"/>
      <c r="JU13" s="120"/>
      <c r="JV13" s="119"/>
      <c r="JW13" s="119"/>
      <c r="JX13" s="120"/>
      <c r="JY13" s="119"/>
      <c r="JZ13" s="119"/>
      <c r="KA13" s="120"/>
      <c r="KB13" s="120"/>
      <c r="KC13" s="119"/>
      <c r="KD13" s="119"/>
      <c r="KE13" s="120"/>
      <c r="KF13" s="119"/>
      <c r="KG13" s="119"/>
      <c r="KH13" s="119"/>
      <c r="KI13" s="120"/>
      <c r="KJ13" s="119"/>
      <c r="KK13" s="119"/>
      <c r="KL13" s="120"/>
      <c r="KM13" s="119"/>
      <c r="KN13" s="119"/>
      <c r="KO13" s="120"/>
      <c r="KP13" s="120"/>
      <c r="KQ13" s="119"/>
      <c r="KR13" s="119"/>
      <c r="KS13" s="120"/>
      <c r="KT13" s="119"/>
      <c r="KU13" s="119"/>
      <c r="KV13" s="119"/>
      <c r="KW13" s="120"/>
      <c r="KX13" s="119"/>
      <c r="KY13" s="119"/>
      <c r="KZ13" s="120"/>
      <c r="LA13" s="119"/>
      <c r="LB13" s="119"/>
      <c r="LC13" s="120"/>
      <c r="LD13" s="120"/>
      <c r="LE13" s="119"/>
      <c r="LF13" s="119"/>
      <c r="LG13" s="120"/>
      <c r="LH13" s="119"/>
      <c r="LI13" s="119"/>
      <c r="LJ13" s="119"/>
      <c r="LK13" s="120"/>
      <c r="LL13" s="119"/>
      <c r="LM13" s="119"/>
      <c r="LN13" s="120"/>
      <c r="LO13" s="119"/>
      <c r="LP13" s="119"/>
      <c r="LQ13" s="120"/>
      <c r="LR13" s="120"/>
      <c r="LS13" s="119"/>
      <c r="LT13" s="119"/>
      <c r="LU13" s="120"/>
      <c r="LV13" s="119"/>
      <c r="LW13" s="119"/>
      <c r="LX13" s="119"/>
      <c r="LY13" s="120"/>
      <c r="LZ13" s="119"/>
      <c r="MA13" s="119"/>
      <c r="MB13" s="120"/>
      <c r="MC13" s="119"/>
      <c r="MD13" s="119"/>
      <c r="ME13" s="120"/>
      <c r="MF13" s="120"/>
      <c r="MG13" s="119"/>
      <c r="MH13" s="119"/>
      <c r="MI13" s="120"/>
      <c r="MJ13" s="119"/>
      <c r="MK13" s="119"/>
      <c r="ML13" s="119"/>
      <c r="MM13" s="120"/>
      <c r="MN13" s="119"/>
      <c r="MO13" s="119"/>
      <c r="MP13" s="120"/>
      <c r="MQ13" s="119"/>
      <c r="MR13" s="119"/>
      <c r="MS13" s="120"/>
      <c r="MT13" s="120"/>
      <c r="MU13" s="119"/>
      <c r="MV13" s="119"/>
      <c r="MW13" s="120"/>
      <c r="MX13" s="119"/>
      <c r="MY13" s="119"/>
      <c r="MZ13" s="119"/>
      <c r="NA13" s="120"/>
      <c r="NB13" s="119"/>
      <c r="NC13" s="119"/>
      <c r="ND13" s="120"/>
      <c r="NE13" s="119"/>
      <c r="NF13" s="119"/>
      <c r="NG13" s="120"/>
      <c r="NH13" s="120"/>
      <c r="NI13" s="119"/>
      <c r="NJ13" s="119"/>
      <c r="NK13" s="120"/>
      <c r="NL13" s="119"/>
      <c r="NM13" s="119"/>
      <c r="NN13" s="119"/>
      <c r="NO13" s="120"/>
      <c r="NP13" s="119"/>
      <c r="NQ13" s="119"/>
      <c r="NR13" s="120"/>
      <c r="NS13" s="119"/>
      <c r="NT13" s="119"/>
      <c r="NU13" s="120"/>
      <c r="NV13" s="120"/>
      <c r="NW13" s="119"/>
      <c r="NX13" s="119"/>
      <c r="NY13" s="120"/>
      <c r="NZ13" s="119"/>
      <c r="OA13" s="119"/>
      <c r="OB13" s="119"/>
      <c r="OC13" s="120"/>
      <c r="OD13" s="119"/>
      <c r="OE13" s="119"/>
      <c r="OF13" s="120"/>
      <c r="OG13" s="119"/>
      <c r="OH13" s="119"/>
      <c r="OI13" s="120"/>
      <c r="OJ13" s="120"/>
      <c r="OK13" s="119"/>
      <c r="OL13" s="119"/>
      <c r="OM13" s="120"/>
      <c r="ON13" s="119"/>
      <c r="OO13" s="119"/>
      <c r="OP13" s="119"/>
      <c r="OQ13" s="120"/>
      <c r="OR13" s="119"/>
      <c r="OS13" s="119"/>
      <c r="OT13" s="120"/>
      <c r="OU13" s="119"/>
      <c r="OV13" s="119"/>
      <c r="OW13" s="120"/>
      <c r="OX13" s="120"/>
      <c r="OY13" s="119"/>
      <c r="OZ13" s="119"/>
      <c r="PA13" s="120"/>
      <c r="PC13" s="120"/>
      <c r="PD13" s="120"/>
      <c r="PE13" s="272"/>
      <c r="PF13" s="120"/>
      <c r="PG13" s="121"/>
      <c r="PH13" s="121"/>
      <c r="PI13" s="121"/>
      <c r="PJ13" s="121"/>
      <c r="PK13" s="121"/>
      <c r="PL13" s="121"/>
      <c r="PM13" s="121"/>
      <c r="PN13" s="121"/>
      <c r="PO13" s="121"/>
      <c r="PP13" s="121"/>
      <c r="PQ13" s="121"/>
      <c r="PR13" s="121"/>
      <c r="PS13" s="121"/>
      <c r="PT13" s="121"/>
      <c r="PU13" s="121"/>
    </row>
    <row r="14" spans="1:437" ht="40.700000000000003" customHeight="1" x14ac:dyDescent="0.2">
      <c r="A14" s="117"/>
      <c r="B14" s="118"/>
      <c r="C14" s="118"/>
      <c r="D14" s="118"/>
      <c r="E14" s="118"/>
      <c r="F14" s="118"/>
      <c r="G14" s="118"/>
      <c r="H14" s="118"/>
      <c r="I14" s="118"/>
      <c r="J14" s="118"/>
      <c r="K14" s="118"/>
      <c r="L14" s="118"/>
      <c r="M14" s="257"/>
      <c r="N14" s="257"/>
      <c r="O14" s="257"/>
      <c r="P14" s="118"/>
      <c r="Q14" s="253" t="str">
        <f xml:space="preserve"> vbaIsZero(CalcTAR(F14, U14, J14, K14, M14,N14))</f>
        <v/>
      </c>
      <c r="R14" s="254" t="str">
        <f xml:space="preserve"> vbaIsZero(CalcTUR(F14, U14, J14, K14, P14))</f>
        <v/>
      </c>
      <c r="S14" s="117"/>
      <c r="T14" s="122"/>
      <c r="U14" s="119"/>
      <c r="V14" s="119"/>
      <c r="W14" s="123"/>
      <c r="X14" s="57" t="str">
        <f xml:space="preserve"> vbaIsError(PFAmgr(F14, U14, J14, K14,O14, $AC$1, R14, $AC$2 ))</f>
        <v/>
      </c>
      <c r="Y14" s="57" t="str">
        <f xml:space="preserve"> vbaIsError(PFRmgr(F14, U14, J14, K14,O14, $AC$1, R14, $AC$2 ))</f>
        <v/>
      </c>
      <c r="Z14" s="57" t="str">
        <f xml:space="preserve"> vbaIsError(GBMultmgr($AA$1, F14, U14, J14, K14,AA14,AB14))</f>
        <v/>
      </c>
      <c r="AA14" s="72" t="str">
        <f xml:space="preserve"> vbaIsError(ResDwn(GBLowMgr($AA$1, F14, U14, J14, K14,O14, $AA$2 ), FC14))</f>
        <v/>
      </c>
      <c r="AB14" s="72" t="str">
        <f xml:space="preserve"> vbaIsError(ResUp(GBUpMgr($AA$1, F14, U14, J14, K14,O14, $AA$2 ), FC14))</f>
        <v/>
      </c>
      <c r="AC14" s="57" t="str">
        <f xml:space="preserve"> vbaIsError(PFAWGBmgr(F14, U14, J14, K14,O14,$AA$2,AA14,AB14))</f>
        <v/>
      </c>
      <c r="AD14" s="57" t="str">
        <f xml:space="preserve"> vbaIsError(PFRWGBmgr(F14, U14, J14, K14,O14,$AA$2,AA14,AB14))</f>
        <v/>
      </c>
      <c r="AE14" s="254" t="str">
        <f xml:space="preserve"> vbaIsError(CalIntwGBMgr(F14,U14,J14,K14,O14,$AA$2,$AC$1,AA14,AB14,R14,$AC$2,$AA$3))</f>
        <v/>
      </c>
      <c r="AF14" s="260" t="str">
        <f xml:space="preserve"> vbaIsError(CalIntMgr(F14,U14,J14,K14,O14,$AA$2,$AC$1,R14,$AC$2,$AA$3,$AA$1))</f>
        <v/>
      </c>
      <c r="AG14" s="57" t="str">
        <f xml:space="preserve"> vbaIsError(CalRelMgr(F14,U14,J14,K14,O14,$AA$2,$AC$1,R14,$AC$2,$AA$3,$AA$1))</f>
        <v/>
      </c>
      <c r="AH14" s="256"/>
      <c r="AI14" s="3"/>
      <c r="AJ14" s="4"/>
      <c r="AK14" s="5"/>
      <c r="AL14" s="4"/>
      <c r="AM14" s="4"/>
      <c r="AN14" s="3"/>
      <c r="AO14" s="5"/>
      <c r="AP14" s="3"/>
      <c r="AQ14" s="4"/>
      <c r="AR14" s="5"/>
      <c r="AS14" s="4"/>
      <c r="AT14" s="4"/>
      <c r="AU14" s="3"/>
      <c r="AV14" s="5"/>
      <c r="AW14" s="3"/>
      <c r="AX14" s="4"/>
      <c r="AY14" s="5"/>
      <c r="AZ14" s="4"/>
      <c r="BA14" s="4"/>
      <c r="BB14" s="3"/>
      <c r="BC14" s="5"/>
      <c r="BD14" s="3"/>
      <c r="BE14" s="4"/>
      <c r="BF14" s="5"/>
      <c r="BG14" s="4"/>
      <c r="BH14" s="4"/>
      <c r="BI14" s="3"/>
      <c r="BJ14" s="5"/>
      <c r="BK14" s="3"/>
      <c r="BL14" s="4"/>
      <c r="BM14" s="5"/>
      <c r="BN14" s="4"/>
      <c r="BO14" s="4"/>
      <c r="BP14" s="3"/>
      <c r="BQ14" s="5"/>
      <c r="BR14" s="3"/>
      <c r="BS14" s="4"/>
      <c r="BT14" s="5"/>
      <c r="BU14" s="4"/>
      <c r="BV14" s="4"/>
      <c r="BW14" s="3"/>
      <c r="BX14" s="5"/>
      <c r="BY14" s="3"/>
      <c r="BZ14" s="4"/>
      <c r="CA14" s="5"/>
      <c r="CB14" s="4"/>
      <c r="CC14" s="4"/>
      <c r="CD14" s="3"/>
      <c r="CE14" s="5"/>
      <c r="CF14" s="3"/>
      <c r="CG14" s="4"/>
      <c r="CH14" s="5"/>
      <c r="CI14" s="4"/>
      <c r="CJ14" s="4"/>
      <c r="CK14" s="3"/>
      <c r="CL14" s="5"/>
      <c r="CM14" s="3"/>
      <c r="CN14" s="4"/>
      <c r="CO14" s="5"/>
      <c r="CP14" s="4"/>
      <c r="CQ14" s="4"/>
      <c r="CR14" s="3"/>
      <c r="CS14" s="5"/>
      <c r="CT14" s="3"/>
      <c r="CU14" s="4"/>
      <c r="CV14" s="5"/>
      <c r="CW14" s="4"/>
      <c r="CX14" s="4"/>
      <c r="CY14" s="3"/>
      <c r="CZ14" s="5"/>
      <c r="DA14" s="3"/>
      <c r="DB14" s="4"/>
      <c r="DC14" s="5"/>
      <c r="DD14" s="4"/>
      <c r="DE14" s="4"/>
      <c r="DF14" s="3"/>
      <c r="DG14" s="5"/>
      <c r="DH14" s="3"/>
      <c r="DI14" s="4"/>
      <c r="DJ14" s="5"/>
      <c r="DK14" s="4"/>
      <c r="DL14" s="4"/>
      <c r="DM14" s="3"/>
      <c r="DN14" s="5"/>
      <c r="DO14" s="3"/>
      <c r="DP14" s="4"/>
      <c r="DQ14" s="5"/>
      <c r="DR14" s="4"/>
      <c r="DS14" s="4"/>
      <c r="DT14" s="3"/>
      <c r="DU14" s="5"/>
      <c r="DV14" s="3"/>
      <c r="DW14" s="4"/>
      <c r="DX14" s="5"/>
      <c r="DY14" s="4"/>
      <c r="DZ14" s="4"/>
      <c r="EA14" s="3"/>
      <c r="EB14" s="5"/>
      <c r="EC14" s="3"/>
      <c r="ED14" s="4"/>
      <c r="EE14" s="5"/>
      <c r="EF14" s="4"/>
      <c r="EG14" s="4"/>
      <c r="EH14" s="3"/>
      <c r="EI14" s="5"/>
      <c r="EJ14" s="3"/>
      <c r="EK14" s="3"/>
      <c r="EL14" s="116"/>
      <c r="EM14" s="25"/>
      <c r="EO14" s="119"/>
      <c r="EP14" s="119"/>
      <c r="EQ14" s="119"/>
      <c r="ER14" s="120"/>
      <c r="ES14" s="119"/>
      <c r="ET14" s="119"/>
      <c r="EU14" s="120"/>
      <c r="EV14" s="119"/>
      <c r="EW14" s="119"/>
      <c r="EX14" s="120"/>
      <c r="EY14" s="120"/>
      <c r="EZ14" s="119"/>
      <c r="FA14" s="119"/>
      <c r="FB14" s="120"/>
      <c r="FC14" s="119"/>
      <c r="FD14" s="119"/>
      <c r="FE14" s="119"/>
      <c r="FF14" s="119"/>
      <c r="FG14" s="120"/>
      <c r="FH14" s="119"/>
      <c r="FI14" s="119"/>
      <c r="FJ14" s="120"/>
      <c r="FK14" s="119"/>
      <c r="FL14" s="119"/>
      <c r="FM14" s="120"/>
      <c r="FN14" s="120"/>
      <c r="FO14" s="119"/>
      <c r="FP14" s="119"/>
      <c r="FQ14" s="120"/>
      <c r="FR14" s="119"/>
      <c r="FS14" s="121"/>
      <c r="FT14" s="121"/>
      <c r="FU14" s="121"/>
      <c r="FV14" s="121"/>
      <c r="FW14" s="121"/>
      <c r="FX14" s="121"/>
      <c r="FY14" s="121"/>
      <c r="FZ14" s="121"/>
      <c r="GA14" s="121"/>
      <c r="GB14" s="121"/>
      <c r="GC14" s="121"/>
      <c r="GD14" s="121"/>
      <c r="GE14" s="121"/>
      <c r="GF14" s="121"/>
      <c r="GG14" s="121"/>
      <c r="GI14" s="121"/>
      <c r="GJ14" s="121"/>
      <c r="GK14" s="121"/>
      <c r="GL14" s="121"/>
      <c r="GM14" s="121"/>
      <c r="GN14" s="121"/>
      <c r="GO14" s="121"/>
      <c r="GP14" s="121"/>
      <c r="GQ14" s="121"/>
      <c r="GR14" s="121"/>
      <c r="GS14" s="121"/>
      <c r="GT14" s="121"/>
      <c r="GU14" s="121"/>
      <c r="GV14" s="121"/>
      <c r="GW14" s="121"/>
      <c r="GX14" s="121"/>
      <c r="GZ14" s="119"/>
      <c r="HA14" s="119"/>
      <c r="HB14" s="119"/>
      <c r="HC14" s="120"/>
      <c r="HD14" s="119"/>
      <c r="HE14" s="119"/>
      <c r="HF14" s="120"/>
      <c r="HG14" s="119"/>
      <c r="HH14" s="119"/>
      <c r="HI14" s="120"/>
      <c r="HJ14" s="120"/>
      <c r="HK14" s="119"/>
      <c r="HL14" s="119"/>
      <c r="HM14" s="120"/>
      <c r="HN14" s="119"/>
      <c r="HO14" s="119"/>
      <c r="HP14" s="119"/>
      <c r="HQ14" s="120"/>
      <c r="HR14" s="119"/>
      <c r="HS14" s="119"/>
      <c r="HT14" s="120"/>
      <c r="HU14" s="119"/>
      <c r="HV14" s="119"/>
      <c r="HW14" s="120"/>
      <c r="HX14" s="120"/>
      <c r="HY14" s="119"/>
      <c r="HZ14" s="119"/>
      <c r="IA14" s="120"/>
      <c r="IB14" s="119"/>
      <c r="IC14" s="119"/>
      <c r="ID14" s="119"/>
      <c r="IE14" s="120"/>
      <c r="IF14" s="119"/>
      <c r="IG14" s="119"/>
      <c r="IH14" s="120"/>
      <c r="II14" s="119"/>
      <c r="IJ14" s="119"/>
      <c r="IK14" s="120"/>
      <c r="IL14" s="120"/>
      <c r="IM14" s="119"/>
      <c r="IN14" s="119"/>
      <c r="IO14" s="120"/>
      <c r="IP14" s="119"/>
      <c r="IQ14" s="119"/>
      <c r="IR14" s="119"/>
      <c r="IS14" s="120"/>
      <c r="IT14" s="119"/>
      <c r="IU14" s="119"/>
      <c r="IV14" s="120"/>
      <c r="IW14" s="119"/>
      <c r="IX14" s="119"/>
      <c r="IY14" s="120"/>
      <c r="IZ14" s="120"/>
      <c r="JA14" s="119"/>
      <c r="JB14" s="119"/>
      <c r="JC14" s="120"/>
      <c r="JD14" s="119"/>
      <c r="JE14" s="119"/>
      <c r="JF14" s="119"/>
      <c r="JG14" s="120"/>
      <c r="JH14" s="119"/>
      <c r="JI14" s="119"/>
      <c r="JJ14" s="120"/>
      <c r="JK14" s="119"/>
      <c r="JL14" s="119"/>
      <c r="JM14" s="120"/>
      <c r="JN14" s="120"/>
      <c r="JO14" s="119"/>
      <c r="JP14" s="119"/>
      <c r="JQ14" s="120"/>
      <c r="JR14" s="119"/>
      <c r="JS14" s="119"/>
      <c r="JT14" s="119"/>
      <c r="JU14" s="120"/>
      <c r="JV14" s="119"/>
      <c r="JW14" s="119"/>
      <c r="JX14" s="120"/>
      <c r="JY14" s="119"/>
      <c r="JZ14" s="119"/>
      <c r="KA14" s="120"/>
      <c r="KB14" s="120"/>
      <c r="KC14" s="119"/>
      <c r="KD14" s="119"/>
      <c r="KE14" s="120"/>
      <c r="KF14" s="119"/>
      <c r="KG14" s="119"/>
      <c r="KH14" s="119"/>
      <c r="KI14" s="120"/>
      <c r="KJ14" s="119"/>
      <c r="KK14" s="119"/>
      <c r="KL14" s="120"/>
      <c r="KM14" s="119"/>
      <c r="KN14" s="119"/>
      <c r="KO14" s="120"/>
      <c r="KP14" s="120"/>
      <c r="KQ14" s="119"/>
      <c r="KR14" s="119"/>
      <c r="KS14" s="120"/>
      <c r="KT14" s="119"/>
      <c r="KU14" s="119"/>
      <c r="KV14" s="119"/>
      <c r="KW14" s="120"/>
      <c r="KX14" s="119"/>
      <c r="KY14" s="119"/>
      <c r="KZ14" s="120"/>
      <c r="LA14" s="119"/>
      <c r="LB14" s="119"/>
      <c r="LC14" s="120"/>
      <c r="LD14" s="120"/>
      <c r="LE14" s="119"/>
      <c r="LF14" s="119"/>
      <c r="LG14" s="120"/>
      <c r="LH14" s="119"/>
      <c r="LI14" s="119"/>
      <c r="LJ14" s="119"/>
      <c r="LK14" s="120"/>
      <c r="LL14" s="119"/>
      <c r="LM14" s="119"/>
      <c r="LN14" s="120"/>
      <c r="LO14" s="119"/>
      <c r="LP14" s="119"/>
      <c r="LQ14" s="120"/>
      <c r="LR14" s="120"/>
      <c r="LS14" s="119"/>
      <c r="LT14" s="119"/>
      <c r="LU14" s="120"/>
      <c r="LV14" s="119"/>
      <c r="LW14" s="119"/>
      <c r="LX14" s="119"/>
      <c r="LY14" s="120"/>
      <c r="LZ14" s="119"/>
      <c r="MA14" s="119"/>
      <c r="MB14" s="120"/>
      <c r="MC14" s="119"/>
      <c r="MD14" s="119"/>
      <c r="ME14" s="120"/>
      <c r="MF14" s="120"/>
      <c r="MG14" s="119"/>
      <c r="MH14" s="119"/>
      <c r="MI14" s="120"/>
      <c r="MJ14" s="119"/>
      <c r="MK14" s="119"/>
      <c r="ML14" s="119"/>
      <c r="MM14" s="120"/>
      <c r="MN14" s="119"/>
      <c r="MO14" s="119"/>
      <c r="MP14" s="120"/>
      <c r="MQ14" s="119"/>
      <c r="MR14" s="119"/>
      <c r="MS14" s="120"/>
      <c r="MT14" s="120"/>
      <c r="MU14" s="119"/>
      <c r="MV14" s="119"/>
      <c r="MW14" s="120"/>
      <c r="MX14" s="119"/>
      <c r="MY14" s="119"/>
      <c r="MZ14" s="119"/>
      <c r="NA14" s="120"/>
      <c r="NB14" s="119"/>
      <c r="NC14" s="119"/>
      <c r="ND14" s="120"/>
      <c r="NE14" s="119"/>
      <c r="NF14" s="119"/>
      <c r="NG14" s="120"/>
      <c r="NH14" s="120"/>
      <c r="NI14" s="119"/>
      <c r="NJ14" s="119"/>
      <c r="NK14" s="120"/>
      <c r="NL14" s="119"/>
      <c r="NM14" s="119"/>
      <c r="NN14" s="119"/>
      <c r="NO14" s="120"/>
      <c r="NP14" s="119"/>
      <c r="NQ14" s="119"/>
      <c r="NR14" s="120"/>
      <c r="NS14" s="119"/>
      <c r="NT14" s="119"/>
      <c r="NU14" s="120"/>
      <c r="NV14" s="120"/>
      <c r="NW14" s="119"/>
      <c r="NX14" s="119"/>
      <c r="NY14" s="120"/>
      <c r="NZ14" s="119"/>
      <c r="OA14" s="119"/>
      <c r="OB14" s="119"/>
      <c r="OC14" s="120"/>
      <c r="OD14" s="119"/>
      <c r="OE14" s="119"/>
      <c r="OF14" s="120"/>
      <c r="OG14" s="119"/>
      <c r="OH14" s="119"/>
      <c r="OI14" s="120"/>
      <c r="OJ14" s="120"/>
      <c r="OK14" s="119"/>
      <c r="OL14" s="119"/>
      <c r="OM14" s="120"/>
      <c r="ON14" s="119"/>
      <c r="OO14" s="119"/>
      <c r="OP14" s="119"/>
      <c r="OQ14" s="120"/>
      <c r="OR14" s="119"/>
      <c r="OS14" s="119"/>
      <c r="OT14" s="120"/>
      <c r="OU14" s="119"/>
      <c r="OV14" s="119"/>
      <c r="OW14" s="120"/>
      <c r="OX14" s="120"/>
      <c r="OY14" s="119"/>
      <c r="OZ14" s="119"/>
      <c r="PA14" s="120"/>
      <c r="PC14" s="120"/>
      <c r="PD14" s="120"/>
      <c r="PE14" s="272"/>
      <c r="PF14" s="120"/>
      <c r="PG14" s="121"/>
      <c r="PH14" s="121"/>
      <c r="PI14" s="121"/>
      <c r="PJ14" s="121"/>
      <c r="PK14" s="121"/>
      <c r="PL14" s="121"/>
      <c r="PM14" s="121"/>
      <c r="PN14" s="121"/>
      <c r="PO14" s="121"/>
      <c r="PP14" s="121"/>
      <c r="PQ14" s="121"/>
      <c r="PR14" s="121"/>
      <c r="PS14" s="121"/>
      <c r="PT14" s="121"/>
      <c r="PU14" s="121"/>
    </row>
    <row r="15" spans="1:437" ht="40.700000000000003" customHeight="1" x14ac:dyDescent="0.2">
      <c r="A15" s="117"/>
      <c r="B15" s="118"/>
      <c r="C15" s="118"/>
      <c r="D15" s="118"/>
      <c r="E15" s="118"/>
      <c r="F15" s="118"/>
      <c r="G15" s="118"/>
      <c r="H15" s="118"/>
      <c r="I15" s="118"/>
      <c r="J15" s="118"/>
      <c r="K15" s="118"/>
      <c r="L15" s="118"/>
      <c r="M15" s="257"/>
      <c r="N15" s="257"/>
      <c r="O15" s="257"/>
      <c r="P15" s="118"/>
      <c r="Q15" s="253" t="str">
        <f xml:space="preserve"> vbaIsZero(CalcTAR(F15, U15, J15, K15, M15,N15))</f>
        <v/>
      </c>
      <c r="R15" s="254" t="str">
        <f xml:space="preserve"> vbaIsZero(CalcTUR(F15, U15, J15, K15, P15))</f>
        <v/>
      </c>
      <c r="S15" s="117"/>
      <c r="T15" s="122"/>
      <c r="U15" s="119"/>
      <c r="V15" s="119"/>
      <c r="W15" s="123"/>
      <c r="X15" s="57" t="str">
        <f xml:space="preserve"> vbaIsError(PFAmgr(F15, U15, J15, K15,O15, $AC$1, R15, $AC$2 ))</f>
        <v/>
      </c>
      <c r="Y15" s="57" t="str">
        <f xml:space="preserve"> vbaIsError(PFRmgr(F15, U15, J15, K15,O15, $AC$1, R15, $AC$2 ))</f>
        <v/>
      </c>
      <c r="Z15" s="57" t="str">
        <f xml:space="preserve"> vbaIsError(GBMultmgr($AA$1, F15, U15, J15, K15,AA15,AB15))</f>
        <v/>
      </c>
      <c r="AA15" s="72" t="str">
        <f xml:space="preserve"> vbaIsError(ResDwn(GBLowMgr($AA$1, F15, U15, J15, K15,O15, $AA$2 ), FC15))</f>
        <v/>
      </c>
      <c r="AB15" s="72" t="str">
        <f xml:space="preserve"> vbaIsError(ResUp(GBUpMgr($AA$1, F15, U15, J15, K15,O15, $AA$2 ), FC15))</f>
        <v/>
      </c>
      <c r="AC15" s="57" t="str">
        <f xml:space="preserve"> vbaIsError(PFAWGBmgr(F15, U15, J15, K15,O15,$AA$2,AA15,AB15))</f>
        <v/>
      </c>
      <c r="AD15" s="57" t="str">
        <f xml:space="preserve"> vbaIsError(PFRWGBmgr(F15, U15, J15, K15,O15,$AA$2,AA15,AB15))</f>
        <v/>
      </c>
      <c r="AE15" s="254" t="str">
        <f xml:space="preserve"> vbaIsError(CalIntwGBMgr(F15,U15,J15,K15,O15,$AA$2,$AC$1,AA15,AB15,R15,$AC$2,$AA$3))</f>
        <v/>
      </c>
      <c r="AF15" s="260" t="str">
        <f xml:space="preserve"> vbaIsError(CalIntMgr(F15,U15,J15,K15,O15,$AA$2,$AC$1,R15,$AC$2,$AA$3,$AA$1))</f>
        <v/>
      </c>
      <c r="AG15" s="57" t="str">
        <f xml:space="preserve"> vbaIsError(CalRelMgr(F15,U15,J15,K15,O15,$AA$2,$AC$1,R15,$AC$2,$AA$3,$AA$1))</f>
        <v/>
      </c>
      <c r="AH15" s="256"/>
      <c r="AI15" s="3"/>
      <c r="AJ15" s="4"/>
      <c r="AK15" s="5"/>
      <c r="AL15" s="4"/>
      <c r="AM15" s="4"/>
      <c r="AN15" s="3"/>
      <c r="AO15" s="5"/>
      <c r="AP15" s="3"/>
      <c r="AQ15" s="4"/>
      <c r="AR15" s="5"/>
      <c r="AS15" s="4"/>
      <c r="AT15" s="4"/>
      <c r="AU15" s="3"/>
      <c r="AV15" s="5"/>
      <c r="AW15" s="3"/>
      <c r="AX15" s="4"/>
      <c r="AY15" s="5"/>
      <c r="AZ15" s="4"/>
      <c r="BA15" s="4"/>
      <c r="BB15" s="3"/>
      <c r="BC15" s="5"/>
      <c r="BD15" s="3"/>
      <c r="BE15" s="4"/>
      <c r="BF15" s="5"/>
      <c r="BG15" s="4"/>
      <c r="BH15" s="4"/>
      <c r="BI15" s="3"/>
      <c r="BJ15" s="5"/>
      <c r="BK15" s="3"/>
      <c r="BL15" s="4"/>
      <c r="BM15" s="5"/>
      <c r="BN15" s="4"/>
      <c r="BO15" s="4"/>
      <c r="BP15" s="3"/>
      <c r="BQ15" s="5"/>
      <c r="BR15" s="3"/>
      <c r="BS15" s="4"/>
      <c r="BT15" s="5"/>
      <c r="BU15" s="4"/>
      <c r="BV15" s="4"/>
      <c r="BW15" s="3"/>
      <c r="BX15" s="5"/>
      <c r="BY15" s="3"/>
      <c r="BZ15" s="4"/>
      <c r="CA15" s="5"/>
      <c r="CB15" s="4"/>
      <c r="CC15" s="4"/>
      <c r="CD15" s="3"/>
      <c r="CE15" s="5"/>
      <c r="CF15" s="3"/>
      <c r="CG15" s="4"/>
      <c r="CH15" s="5"/>
      <c r="CI15" s="4"/>
      <c r="CJ15" s="4"/>
      <c r="CK15" s="3"/>
      <c r="CL15" s="5"/>
      <c r="CM15" s="3"/>
      <c r="CN15" s="4"/>
      <c r="CO15" s="5"/>
      <c r="CP15" s="4"/>
      <c r="CQ15" s="4"/>
      <c r="CR15" s="3"/>
      <c r="CS15" s="5"/>
      <c r="CT15" s="3"/>
      <c r="CU15" s="4"/>
      <c r="CV15" s="5"/>
      <c r="CW15" s="4"/>
      <c r="CX15" s="4"/>
      <c r="CY15" s="3"/>
      <c r="CZ15" s="5"/>
      <c r="DA15" s="3"/>
      <c r="DB15" s="4"/>
      <c r="DC15" s="5"/>
      <c r="DD15" s="4"/>
      <c r="DE15" s="4"/>
      <c r="DF15" s="3"/>
      <c r="DG15" s="5"/>
      <c r="DH15" s="3"/>
      <c r="DI15" s="4"/>
      <c r="DJ15" s="5"/>
      <c r="DK15" s="4"/>
      <c r="DL15" s="4"/>
      <c r="DM15" s="3"/>
      <c r="DN15" s="5"/>
      <c r="DO15" s="3"/>
      <c r="DP15" s="4"/>
      <c r="DQ15" s="5"/>
      <c r="DR15" s="4"/>
      <c r="DS15" s="4"/>
      <c r="DT15" s="3"/>
      <c r="DU15" s="5"/>
      <c r="DV15" s="3"/>
      <c r="DW15" s="4"/>
      <c r="DX15" s="5"/>
      <c r="DY15" s="4"/>
      <c r="DZ15" s="4"/>
      <c r="EA15" s="3"/>
      <c r="EB15" s="5"/>
      <c r="EC15" s="3"/>
      <c r="ED15" s="4"/>
      <c r="EE15" s="5"/>
      <c r="EF15" s="4"/>
      <c r="EG15" s="4"/>
      <c r="EH15" s="3"/>
      <c r="EI15" s="5"/>
      <c r="EJ15" s="3"/>
      <c r="EK15" s="3"/>
      <c r="EL15" s="116"/>
      <c r="EM15" s="25"/>
      <c r="EO15" s="119"/>
      <c r="EP15" s="119"/>
      <c r="EQ15" s="119"/>
      <c r="ER15" s="120"/>
      <c r="ES15" s="119"/>
      <c r="ET15" s="119"/>
      <c r="EU15" s="120"/>
      <c r="EV15" s="119"/>
      <c r="EW15" s="119"/>
      <c r="EX15" s="120"/>
      <c r="EY15" s="120"/>
      <c r="EZ15" s="119"/>
      <c r="FA15" s="119"/>
      <c r="FB15" s="120"/>
      <c r="FC15" s="119"/>
      <c r="FD15" s="119"/>
      <c r="FE15" s="119"/>
      <c r="FF15" s="119"/>
      <c r="FG15" s="120"/>
      <c r="FH15" s="119"/>
      <c r="FI15" s="119"/>
      <c r="FJ15" s="120"/>
      <c r="FK15" s="119"/>
      <c r="FL15" s="119"/>
      <c r="FM15" s="120"/>
      <c r="FN15" s="120"/>
      <c r="FO15" s="119"/>
      <c r="FP15" s="119"/>
      <c r="FQ15" s="120"/>
      <c r="FR15" s="119"/>
      <c r="FS15" s="121"/>
      <c r="FT15" s="121"/>
      <c r="FU15" s="121"/>
      <c r="FV15" s="121"/>
      <c r="FW15" s="121"/>
      <c r="FX15" s="121"/>
      <c r="FY15" s="121"/>
      <c r="FZ15" s="121"/>
      <c r="GA15" s="121"/>
      <c r="GB15" s="121"/>
      <c r="GC15" s="121"/>
      <c r="GD15" s="121"/>
      <c r="GE15" s="121"/>
      <c r="GF15" s="121"/>
      <c r="GG15" s="121"/>
      <c r="GI15" s="121"/>
      <c r="GJ15" s="121"/>
      <c r="GK15" s="121"/>
      <c r="GL15" s="121"/>
      <c r="GM15" s="121"/>
      <c r="GN15" s="121"/>
      <c r="GO15" s="121"/>
      <c r="GP15" s="121"/>
      <c r="GQ15" s="121"/>
      <c r="GR15" s="121"/>
      <c r="GS15" s="121"/>
      <c r="GT15" s="121"/>
      <c r="GU15" s="121"/>
      <c r="GV15" s="121"/>
      <c r="GW15" s="121"/>
      <c r="GX15" s="121"/>
      <c r="GZ15" s="119"/>
      <c r="HA15" s="119"/>
      <c r="HB15" s="119"/>
      <c r="HC15" s="120"/>
      <c r="HD15" s="119"/>
      <c r="HE15" s="119"/>
      <c r="HF15" s="120"/>
      <c r="HG15" s="119"/>
      <c r="HH15" s="119"/>
      <c r="HI15" s="120"/>
      <c r="HJ15" s="120"/>
      <c r="HK15" s="119"/>
      <c r="HL15" s="119"/>
      <c r="HM15" s="120"/>
      <c r="HN15" s="119"/>
      <c r="HO15" s="119"/>
      <c r="HP15" s="119"/>
      <c r="HQ15" s="120"/>
      <c r="HR15" s="119"/>
      <c r="HS15" s="119"/>
      <c r="HT15" s="120"/>
      <c r="HU15" s="119"/>
      <c r="HV15" s="119"/>
      <c r="HW15" s="120"/>
      <c r="HX15" s="120"/>
      <c r="HY15" s="119"/>
      <c r="HZ15" s="119"/>
      <c r="IA15" s="120"/>
      <c r="IB15" s="119"/>
      <c r="IC15" s="119"/>
      <c r="ID15" s="119"/>
      <c r="IE15" s="120"/>
      <c r="IF15" s="119"/>
      <c r="IG15" s="119"/>
      <c r="IH15" s="120"/>
      <c r="II15" s="119"/>
      <c r="IJ15" s="119"/>
      <c r="IK15" s="120"/>
      <c r="IL15" s="120"/>
      <c r="IM15" s="119"/>
      <c r="IN15" s="119"/>
      <c r="IO15" s="120"/>
      <c r="IP15" s="119"/>
      <c r="IQ15" s="119"/>
      <c r="IR15" s="119"/>
      <c r="IS15" s="120"/>
      <c r="IT15" s="119"/>
      <c r="IU15" s="119"/>
      <c r="IV15" s="120"/>
      <c r="IW15" s="119"/>
      <c r="IX15" s="119"/>
      <c r="IY15" s="120"/>
      <c r="IZ15" s="120"/>
      <c r="JA15" s="119"/>
      <c r="JB15" s="119"/>
      <c r="JC15" s="120"/>
      <c r="JD15" s="119"/>
      <c r="JE15" s="119"/>
      <c r="JF15" s="119"/>
      <c r="JG15" s="120"/>
      <c r="JH15" s="119"/>
      <c r="JI15" s="119"/>
      <c r="JJ15" s="120"/>
      <c r="JK15" s="119"/>
      <c r="JL15" s="119"/>
      <c r="JM15" s="120"/>
      <c r="JN15" s="120"/>
      <c r="JO15" s="119"/>
      <c r="JP15" s="119"/>
      <c r="JQ15" s="120"/>
      <c r="JR15" s="119"/>
      <c r="JS15" s="119"/>
      <c r="JT15" s="119"/>
      <c r="JU15" s="120"/>
      <c r="JV15" s="119"/>
      <c r="JW15" s="119"/>
      <c r="JX15" s="120"/>
      <c r="JY15" s="119"/>
      <c r="JZ15" s="119"/>
      <c r="KA15" s="120"/>
      <c r="KB15" s="120"/>
      <c r="KC15" s="119"/>
      <c r="KD15" s="119"/>
      <c r="KE15" s="120"/>
      <c r="KF15" s="119"/>
      <c r="KG15" s="119"/>
      <c r="KH15" s="119"/>
      <c r="KI15" s="120"/>
      <c r="KJ15" s="119"/>
      <c r="KK15" s="119"/>
      <c r="KL15" s="120"/>
      <c r="KM15" s="119"/>
      <c r="KN15" s="119"/>
      <c r="KO15" s="120"/>
      <c r="KP15" s="120"/>
      <c r="KQ15" s="119"/>
      <c r="KR15" s="119"/>
      <c r="KS15" s="120"/>
      <c r="KT15" s="119"/>
      <c r="KU15" s="119"/>
      <c r="KV15" s="119"/>
      <c r="KW15" s="120"/>
      <c r="KX15" s="119"/>
      <c r="KY15" s="119"/>
      <c r="KZ15" s="120"/>
      <c r="LA15" s="119"/>
      <c r="LB15" s="119"/>
      <c r="LC15" s="120"/>
      <c r="LD15" s="120"/>
      <c r="LE15" s="119"/>
      <c r="LF15" s="119"/>
      <c r="LG15" s="120"/>
      <c r="LH15" s="119"/>
      <c r="LI15" s="119"/>
      <c r="LJ15" s="119"/>
      <c r="LK15" s="120"/>
      <c r="LL15" s="119"/>
      <c r="LM15" s="119"/>
      <c r="LN15" s="120"/>
      <c r="LO15" s="119"/>
      <c r="LP15" s="119"/>
      <c r="LQ15" s="120"/>
      <c r="LR15" s="120"/>
      <c r="LS15" s="119"/>
      <c r="LT15" s="119"/>
      <c r="LU15" s="120"/>
      <c r="LV15" s="119"/>
      <c r="LW15" s="119"/>
      <c r="LX15" s="119"/>
      <c r="LY15" s="120"/>
      <c r="LZ15" s="119"/>
      <c r="MA15" s="119"/>
      <c r="MB15" s="120"/>
      <c r="MC15" s="119"/>
      <c r="MD15" s="119"/>
      <c r="ME15" s="120"/>
      <c r="MF15" s="120"/>
      <c r="MG15" s="119"/>
      <c r="MH15" s="119"/>
      <c r="MI15" s="120"/>
      <c r="MJ15" s="119"/>
      <c r="MK15" s="119"/>
      <c r="ML15" s="119"/>
      <c r="MM15" s="120"/>
      <c r="MN15" s="119"/>
      <c r="MO15" s="119"/>
      <c r="MP15" s="120"/>
      <c r="MQ15" s="119"/>
      <c r="MR15" s="119"/>
      <c r="MS15" s="120"/>
      <c r="MT15" s="120"/>
      <c r="MU15" s="119"/>
      <c r="MV15" s="119"/>
      <c r="MW15" s="120"/>
      <c r="MX15" s="119"/>
      <c r="MY15" s="119"/>
      <c r="MZ15" s="119"/>
      <c r="NA15" s="120"/>
      <c r="NB15" s="119"/>
      <c r="NC15" s="119"/>
      <c r="ND15" s="120"/>
      <c r="NE15" s="119"/>
      <c r="NF15" s="119"/>
      <c r="NG15" s="120"/>
      <c r="NH15" s="120"/>
      <c r="NI15" s="119"/>
      <c r="NJ15" s="119"/>
      <c r="NK15" s="120"/>
      <c r="NL15" s="119"/>
      <c r="NM15" s="119"/>
      <c r="NN15" s="119"/>
      <c r="NO15" s="120"/>
      <c r="NP15" s="119"/>
      <c r="NQ15" s="119"/>
      <c r="NR15" s="120"/>
      <c r="NS15" s="119"/>
      <c r="NT15" s="119"/>
      <c r="NU15" s="120"/>
      <c r="NV15" s="120"/>
      <c r="NW15" s="119"/>
      <c r="NX15" s="119"/>
      <c r="NY15" s="120"/>
      <c r="NZ15" s="119"/>
      <c r="OA15" s="119"/>
      <c r="OB15" s="119"/>
      <c r="OC15" s="120"/>
      <c r="OD15" s="119"/>
      <c r="OE15" s="119"/>
      <c r="OF15" s="120"/>
      <c r="OG15" s="119"/>
      <c r="OH15" s="119"/>
      <c r="OI15" s="120"/>
      <c r="OJ15" s="120"/>
      <c r="OK15" s="119"/>
      <c r="OL15" s="119"/>
      <c r="OM15" s="120"/>
      <c r="ON15" s="119"/>
      <c r="OO15" s="119"/>
      <c r="OP15" s="119"/>
      <c r="OQ15" s="120"/>
      <c r="OR15" s="119"/>
      <c r="OS15" s="119"/>
      <c r="OT15" s="120"/>
      <c r="OU15" s="119"/>
      <c r="OV15" s="119"/>
      <c r="OW15" s="120"/>
      <c r="OX15" s="120"/>
      <c r="OY15" s="119"/>
      <c r="OZ15" s="119"/>
      <c r="PA15" s="120"/>
      <c r="PC15" s="120"/>
      <c r="PD15" s="120"/>
      <c r="PE15" s="272"/>
      <c r="PF15" s="120"/>
      <c r="PG15" s="121"/>
      <c r="PH15" s="121"/>
      <c r="PI15" s="121"/>
      <c r="PJ15" s="121"/>
      <c r="PK15" s="121"/>
      <c r="PL15" s="121"/>
      <c r="PM15" s="121"/>
      <c r="PN15" s="121"/>
      <c r="PO15" s="121"/>
      <c r="PP15" s="121"/>
      <c r="PQ15" s="121"/>
      <c r="PR15" s="121"/>
      <c r="PS15" s="121"/>
      <c r="PT15" s="121"/>
      <c r="PU15" s="121"/>
    </row>
    <row r="16" spans="1:437" ht="40.700000000000003" customHeight="1" x14ac:dyDescent="0.2">
      <c r="A16" s="117"/>
      <c r="B16" s="118"/>
      <c r="C16" s="118"/>
      <c r="D16" s="118"/>
      <c r="E16" s="118"/>
      <c r="F16" s="118"/>
      <c r="G16" s="118"/>
      <c r="H16" s="118"/>
      <c r="I16" s="118"/>
      <c r="J16" s="118"/>
      <c r="K16" s="118"/>
      <c r="L16" s="118"/>
      <c r="M16" s="257"/>
      <c r="N16" s="257"/>
      <c r="O16" s="257"/>
      <c r="P16" s="118"/>
      <c r="Q16" s="253" t="str">
        <f xml:space="preserve"> vbaIsZero(CalcTAR(F16, U16, J16, K16, M16,N16))</f>
        <v/>
      </c>
      <c r="R16" s="254" t="str">
        <f xml:space="preserve"> vbaIsZero(CalcTUR(F16, U16, J16, K16, P16))</f>
        <v/>
      </c>
      <c r="S16" s="117"/>
      <c r="T16" s="122"/>
      <c r="U16" s="119"/>
      <c r="V16" s="119"/>
      <c r="W16" s="123"/>
      <c r="X16" s="57" t="str">
        <f xml:space="preserve"> vbaIsError(PFAmgr(F16, U16, J16, K16,O16, $AC$1, R16, $AC$2 ))</f>
        <v/>
      </c>
      <c r="Y16" s="57" t="str">
        <f xml:space="preserve"> vbaIsError(PFRmgr(F16, U16, J16, K16,O16, $AC$1, R16, $AC$2 ))</f>
        <v/>
      </c>
      <c r="Z16" s="57" t="str">
        <f xml:space="preserve"> vbaIsError(GBMultmgr($AA$1, F16, U16, J16, K16,AA16,AB16))</f>
        <v/>
      </c>
      <c r="AA16" s="72" t="str">
        <f xml:space="preserve"> vbaIsError(ResDwn(GBLowMgr($AA$1, F16, U16, J16, K16,O16, $AA$2 ), FC16))</f>
        <v/>
      </c>
      <c r="AB16" s="72" t="str">
        <f xml:space="preserve"> vbaIsError(ResUp(GBUpMgr($AA$1, F16, U16, J16, K16,O16, $AA$2 ), FC16))</f>
        <v/>
      </c>
      <c r="AC16" s="57" t="str">
        <f xml:space="preserve"> vbaIsError(PFAWGBmgr(F16, U16, J16, K16,O16,$AA$2,AA16,AB16))</f>
        <v/>
      </c>
      <c r="AD16" s="57" t="str">
        <f xml:space="preserve"> vbaIsError(PFRWGBmgr(F16, U16, J16, K16,O16,$AA$2,AA16,AB16))</f>
        <v/>
      </c>
      <c r="AE16" s="254" t="str">
        <f xml:space="preserve"> vbaIsError(CalIntwGBMgr(F16,U16,J16,K16,O16,$AA$2,$AC$1,AA16,AB16,R16,$AC$2,$AA$3))</f>
        <v/>
      </c>
      <c r="AF16" s="260" t="str">
        <f xml:space="preserve"> vbaIsError(CalIntMgr(F16,U16,J16,K16,O16,$AA$2,$AC$1,R16,$AC$2,$AA$3,$AA$1))</f>
        <v/>
      </c>
      <c r="AG16" s="57" t="str">
        <f xml:space="preserve"> vbaIsError(CalRelMgr(F16,U16,J16,K16,O16,$AA$2,$AC$1,R16,$AC$2,$AA$3,$AA$1))</f>
        <v/>
      </c>
      <c r="AH16" s="256"/>
      <c r="AI16" s="3"/>
      <c r="AJ16" s="4"/>
      <c r="AK16" s="5"/>
      <c r="AL16" s="4"/>
      <c r="AM16" s="4"/>
      <c r="AN16" s="3"/>
      <c r="AO16" s="5"/>
      <c r="AP16" s="3"/>
      <c r="AQ16" s="4"/>
      <c r="AR16" s="5"/>
      <c r="AS16" s="4"/>
      <c r="AT16" s="4"/>
      <c r="AU16" s="3"/>
      <c r="AV16" s="5"/>
      <c r="AW16" s="3"/>
      <c r="AX16" s="4"/>
      <c r="AY16" s="5"/>
      <c r="AZ16" s="4"/>
      <c r="BA16" s="4"/>
      <c r="BB16" s="3"/>
      <c r="BC16" s="5"/>
      <c r="BD16" s="3"/>
      <c r="BE16" s="4"/>
      <c r="BF16" s="5"/>
      <c r="BG16" s="4"/>
      <c r="BH16" s="4"/>
      <c r="BI16" s="3"/>
      <c r="BJ16" s="5"/>
      <c r="BK16" s="3"/>
      <c r="BL16" s="4"/>
      <c r="BM16" s="5"/>
      <c r="BN16" s="4"/>
      <c r="BO16" s="4"/>
      <c r="BP16" s="3"/>
      <c r="BQ16" s="5"/>
      <c r="BR16" s="3"/>
      <c r="BS16" s="4"/>
      <c r="BT16" s="5"/>
      <c r="BU16" s="4"/>
      <c r="BV16" s="4"/>
      <c r="BW16" s="3"/>
      <c r="BX16" s="5"/>
      <c r="BY16" s="3"/>
      <c r="BZ16" s="4"/>
      <c r="CA16" s="5"/>
      <c r="CB16" s="4"/>
      <c r="CC16" s="4"/>
      <c r="CD16" s="3"/>
      <c r="CE16" s="5"/>
      <c r="CF16" s="3"/>
      <c r="CG16" s="4"/>
      <c r="CH16" s="5"/>
      <c r="CI16" s="4"/>
      <c r="CJ16" s="4"/>
      <c r="CK16" s="3"/>
      <c r="CL16" s="5"/>
      <c r="CM16" s="3"/>
      <c r="CN16" s="4"/>
      <c r="CO16" s="5"/>
      <c r="CP16" s="4"/>
      <c r="CQ16" s="4"/>
      <c r="CR16" s="3"/>
      <c r="CS16" s="5"/>
      <c r="CT16" s="3"/>
      <c r="CU16" s="4"/>
      <c r="CV16" s="5"/>
      <c r="CW16" s="4"/>
      <c r="CX16" s="4"/>
      <c r="CY16" s="3"/>
      <c r="CZ16" s="5"/>
      <c r="DA16" s="3"/>
      <c r="DB16" s="4"/>
      <c r="DC16" s="5"/>
      <c r="DD16" s="4"/>
      <c r="DE16" s="4"/>
      <c r="DF16" s="3"/>
      <c r="DG16" s="5"/>
      <c r="DH16" s="3"/>
      <c r="DI16" s="4"/>
      <c r="DJ16" s="5"/>
      <c r="DK16" s="4"/>
      <c r="DL16" s="4"/>
      <c r="DM16" s="3"/>
      <c r="DN16" s="5"/>
      <c r="DO16" s="3"/>
      <c r="DP16" s="4"/>
      <c r="DQ16" s="5"/>
      <c r="DR16" s="4"/>
      <c r="DS16" s="4"/>
      <c r="DT16" s="3"/>
      <c r="DU16" s="5"/>
      <c r="DV16" s="3"/>
      <c r="DW16" s="4"/>
      <c r="DX16" s="5"/>
      <c r="DY16" s="4"/>
      <c r="DZ16" s="4"/>
      <c r="EA16" s="3"/>
      <c r="EB16" s="5"/>
      <c r="EC16" s="3"/>
      <c r="ED16" s="4"/>
      <c r="EE16" s="5"/>
      <c r="EF16" s="4"/>
      <c r="EG16" s="4"/>
      <c r="EH16" s="3"/>
      <c r="EI16" s="5"/>
      <c r="EJ16" s="3"/>
      <c r="EK16" s="3"/>
      <c r="EL16" s="116"/>
      <c r="EM16" s="25"/>
      <c r="EO16" s="119"/>
      <c r="EP16" s="119"/>
      <c r="EQ16" s="119"/>
      <c r="ER16" s="120"/>
      <c r="ES16" s="119"/>
      <c r="ET16" s="119"/>
      <c r="EU16" s="120"/>
      <c r="EV16" s="119"/>
      <c r="EW16" s="119"/>
      <c r="EX16" s="120"/>
      <c r="EY16" s="120"/>
      <c r="EZ16" s="119"/>
      <c r="FA16" s="119"/>
      <c r="FB16" s="120"/>
      <c r="FC16" s="119"/>
      <c r="FD16" s="119"/>
      <c r="FE16" s="119"/>
      <c r="FF16" s="119"/>
      <c r="FG16" s="120"/>
      <c r="FH16" s="119"/>
      <c r="FI16" s="119"/>
      <c r="FJ16" s="120"/>
      <c r="FK16" s="119"/>
      <c r="FL16" s="119"/>
      <c r="FM16" s="120"/>
      <c r="FN16" s="120"/>
      <c r="FO16" s="119"/>
      <c r="FP16" s="119"/>
      <c r="FQ16" s="120"/>
      <c r="FR16" s="119"/>
      <c r="FS16" s="121"/>
      <c r="FT16" s="121"/>
      <c r="FU16" s="121"/>
      <c r="FV16" s="121"/>
      <c r="FW16" s="121"/>
      <c r="FX16" s="121"/>
      <c r="FY16" s="121"/>
      <c r="FZ16" s="121"/>
      <c r="GA16" s="121"/>
      <c r="GB16" s="121"/>
      <c r="GC16" s="121"/>
      <c r="GD16" s="121"/>
      <c r="GE16" s="121"/>
      <c r="GF16" s="121"/>
      <c r="GG16" s="121"/>
      <c r="GI16" s="121"/>
      <c r="GJ16" s="121"/>
      <c r="GK16" s="121"/>
      <c r="GL16" s="121"/>
      <c r="GM16" s="121"/>
      <c r="GN16" s="121"/>
      <c r="GO16" s="121"/>
      <c r="GP16" s="121"/>
      <c r="GQ16" s="121"/>
      <c r="GR16" s="121"/>
      <c r="GS16" s="121"/>
      <c r="GT16" s="121"/>
      <c r="GU16" s="121"/>
      <c r="GV16" s="121"/>
      <c r="GW16" s="121"/>
      <c r="GX16" s="121"/>
      <c r="GZ16" s="119"/>
      <c r="HA16" s="119"/>
      <c r="HB16" s="119"/>
      <c r="HC16" s="120"/>
      <c r="HD16" s="119"/>
      <c r="HE16" s="119"/>
      <c r="HF16" s="120"/>
      <c r="HG16" s="119"/>
      <c r="HH16" s="119"/>
      <c r="HI16" s="120"/>
      <c r="HJ16" s="120"/>
      <c r="HK16" s="119"/>
      <c r="HL16" s="119"/>
      <c r="HM16" s="120"/>
      <c r="HN16" s="119"/>
      <c r="HO16" s="119"/>
      <c r="HP16" s="119"/>
      <c r="HQ16" s="120"/>
      <c r="HR16" s="119"/>
      <c r="HS16" s="119"/>
      <c r="HT16" s="120"/>
      <c r="HU16" s="119"/>
      <c r="HV16" s="119"/>
      <c r="HW16" s="120"/>
      <c r="HX16" s="120"/>
      <c r="HY16" s="119"/>
      <c r="HZ16" s="119"/>
      <c r="IA16" s="120"/>
      <c r="IB16" s="119"/>
      <c r="IC16" s="119"/>
      <c r="ID16" s="119"/>
      <c r="IE16" s="120"/>
      <c r="IF16" s="119"/>
      <c r="IG16" s="119"/>
      <c r="IH16" s="120"/>
      <c r="II16" s="119"/>
      <c r="IJ16" s="119"/>
      <c r="IK16" s="120"/>
      <c r="IL16" s="120"/>
      <c r="IM16" s="119"/>
      <c r="IN16" s="119"/>
      <c r="IO16" s="120"/>
      <c r="IP16" s="119"/>
      <c r="IQ16" s="119"/>
      <c r="IR16" s="119"/>
      <c r="IS16" s="120"/>
      <c r="IT16" s="119"/>
      <c r="IU16" s="119"/>
      <c r="IV16" s="120"/>
      <c r="IW16" s="119"/>
      <c r="IX16" s="119"/>
      <c r="IY16" s="120"/>
      <c r="IZ16" s="120"/>
      <c r="JA16" s="119"/>
      <c r="JB16" s="119"/>
      <c r="JC16" s="120"/>
      <c r="JD16" s="119"/>
      <c r="JE16" s="119"/>
      <c r="JF16" s="119"/>
      <c r="JG16" s="120"/>
      <c r="JH16" s="119"/>
      <c r="JI16" s="119"/>
      <c r="JJ16" s="120"/>
      <c r="JK16" s="119"/>
      <c r="JL16" s="119"/>
      <c r="JM16" s="120"/>
      <c r="JN16" s="120"/>
      <c r="JO16" s="119"/>
      <c r="JP16" s="119"/>
      <c r="JQ16" s="120"/>
      <c r="JR16" s="119"/>
      <c r="JS16" s="119"/>
      <c r="JT16" s="119"/>
      <c r="JU16" s="120"/>
      <c r="JV16" s="119"/>
      <c r="JW16" s="119"/>
      <c r="JX16" s="120"/>
      <c r="JY16" s="119"/>
      <c r="JZ16" s="119"/>
      <c r="KA16" s="120"/>
      <c r="KB16" s="120"/>
      <c r="KC16" s="119"/>
      <c r="KD16" s="119"/>
      <c r="KE16" s="120"/>
      <c r="KF16" s="119"/>
      <c r="KG16" s="119"/>
      <c r="KH16" s="119"/>
      <c r="KI16" s="120"/>
      <c r="KJ16" s="119"/>
      <c r="KK16" s="119"/>
      <c r="KL16" s="120"/>
      <c r="KM16" s="119"/>
      <c r="KN16" s="119"/>
      <c r="KO16" s="120"/>
      <c r="KP16" s="120"/>
      <c r="KQ16" s="119"/>
      <c r="KR16" s="119"/>
      <c r="KS16" s="120"/>
      <c r="KT16" s="119"/>
      <c r="KU16" s="119"/>
      <c r="KV16" s="119"/>
      <c r="KW16" s="120"/>
      <c r="KX16" s="119"/>
      <c r="KY16" s="119"/>
      <c r="KZ16" s="120"/>
      <c r="LA16" s="119"/>
      <c r="LB16" s="119"/>
      <c r="LC16" s="120"/>
      <c r="LD16" s="120"/>
      <c r="LE16" s="119"/>
      <c r="LF16" s="119"/>
      <c r="LG16" s="120"/>
      <c r="LH16" s="119"/>
      <c r="LI16" s="119"/>
      <c r="LJ16" s="119"/>
      <c r="LK16" s="120"/>
      <c r="LL16" s="119"/>
      <c r="LM16" s="119"/>
      <c r="LN16" s="120"/>
      <c r="LO16" s="119"/>
      <c r="LP16" s="119"/>
      <c r="LQ16" s="120"/>
      <c r="LR16" s="120"/>
      <c r="LS16" s="119"/>
      <c r="LT16" s="119"/>
      <c r="LU16" s="120"/>
      <c r="LV16" s="119"/>
      <c r="LW16" s="119"/>
      <c r="LX16" s="119"/>
      <c r="LY16" s="120"/>
      <c r="LZ16" s="119"/>
      <c r="MA16" s="119"/>
      <c r="MB16" s="120"/>
      <c r="MC16" s="119"/>
      <c r="MD16" s="119"/>
      <c r="ME16" s="120"/>
      <c r="MF16" s="120"/>
      <c r="MG16" s="119"/>
      <c r="MH16" s="119"/>
      <c r="MI16" s="120"/>
      <c r="MJ16" s="119"/>
      <c r="MK16" s="119"/>
      <c r="ML16" s="119"/>
      <c r="MM16" s="120"/>
      <c r="MN16" s="119"/>
      <c r="MO16" s="119"/>
      <c r="MP16" s="120"/>
      <c r="MQ16" s="119"/>
      <c r="MR16" s="119"/>
      <c r="MS16" s="120"/>
      <c r="MT16" s="120"/>
      <c r="MU16" s="119"/>
      <c r="MV16" s="119"/>
      <c r="MW16" s="120"/>
      <c r="MX16" s="119"/>
      <c r="MY16" s="119"/>
      <c r="MZ16" s="119"/>
      <c r="NA16" s="120"/>
      <c r="NB16" s="119"/>
      <c r="NC16" s="119"/>
      <c r="ND16" s="120"/>
      <c r="NE16" s="119"/>
      <c r="NF16" s="119"/>
      <c r="NG16" s="120"/>
      <c r="NH16" s="120"/>
      <c r="NI16" s="119"/>
      <c r="NJ16" s="119"/>
      <c r="NK16" s="120"/>
      <c r="NL16" s="119"/>
      <c r="NM16" s="119"/>
      <c r="NN16" s="119"/>
      <c r="NO16" s="120"/>
      <c r="NP16" s="119"/>
      <c r="NQ16" s="119"/>
      <c r="NR16" s="120"/>
      <c r="NS16" s="119"/>
      <c r="NT16" s="119"/>
      <c r="NU16" s="120"/>
      <c r="NV16" s="120"/>
      <c r="NW16" s="119"/>
      <c r="NX16" s="119"/>
      <c r="NY16" s="120"/>
      <c r="NZ16" s="119"/>
      <c r="OA16" s="119"/>
      <c r="OB16" s="119"/>
      <c r="OC16" s="120"/>
      <c r="OD16" s="119"/>
      <c r="OE16" s="119"/>
      <c r="OF16" s="120"/>
      <c r="OG16" s="119"/>
      <c r="OH16" s="119"/>
      <c r="OI16" s="120"/>
      <c r="OJ16" s="120"/>
      <c r="OK16" s="119"/>
      <c r="OL16" s="119"/>
      <c r="OM16" s="120"/>
      <c r="ON16" s="119"/>
      <c r="OO16" s="119"/>
      <c r="OP16" s="119"/>
      <c r="OQ16" s="120"/>
      <c r="OR16" s="119"/>
      <c r="OS16" s="119"/>
      <c r="OT16" s="120"/>
      <c r="OU16" s="119"/>
      <c r="OV16" s="119"/>
      <c r="OW16" s="120"/>
      <c r="OX16" s="120"/>
      <c r="OY16" s="119"/>
      <c r="OZ16" s="119"/>
      <c r="PA16" s="120"/>
      <c r="PC16" s="120"/>
      <c r="PD16" s="120"/>
      <c r="PE16" s="272"/>
      <c r="PF16" s="120"/>
      <c r="PG16" s="121"/>
      <c r="PH16" s="121"/>
      <c r="PI16" s="121"/>
      <c r="PJ16" s="121"/>
      <c r="PK16" s="121"/>
      <c r="PL16" s="121"/>
      <c r="PM16" s="121"/>
      <c r="PN16" s="121"/>
      <c r="PO16" s="121"/>
      <c r="PP16" s="121"/>
      <c r="PQ16" s="121"/>
      <c r="PR16" s="121"/>
      <c r="PS16" s="121"/>
      <c r="PT16" s="121"/>
      <c r="PU16" s="121"/>
    </row>
    <row r="17" spans="1:437" ht="40.700000000000003" customHeight="1" x14ac:dyDescent="0.2">
      <c r="A17" s="117"/>
      <c r="B17" s="118"/>
      <c r="C17" s="118"/>
      <c r="D17" s="118"/>
      <c r="E17" s="118"/>
      <c r="F17" s="118"/>
      <c r="G17" s="118"/>
      <c r="H17" s="118"/>
      <c r="I17" s="118"/>
      <c r="J17" s="118"/>
      <c r="K17" s="118"/>
      <c r="L17" s="118"/>
      <c r="M17" s="257"/>
      <c r="N17" s="257"/>
      <c r="O17" s="257"/>
      <c r="P17" s="118"/>
      <c r="Q17" s="253" t="str">
        <f xml:space="preserve"> vbaIsZero(CalcTAR(F17, U17, J17, K17, M17,N17))</f>
        <v/>
      </c>
      <c r="R17" s="254" t="str">
        <f xml:space="preserve"> vbaIsZero(CalcTUR(F17, U17, J17, K17, P17))</f>
        <v/>
      </c>
      <c r="S17" s="117"/>
      <c r="T17" s="122"/>
      <c r="U17" s="119"/>
      <c r="V17" s="119"/>
      <c r="W17" s="123"/>
      <c r="X17" s="57" t="str">
        <f xml:space="preserve"> vbaIsError(PFAmgr(F17, U17, J17, K17,O17, $AC$1, R17, $AC$2 ))</f>
        <v/>
      </c>
      <c r="Y17" s="57" t="str">
        <f xml:space="preserve"> vbaIsError(PFRmgr(F17, U17, J17, K17,O17, $AC$1, R17, $AC$2 ))</f>
        <v/>
      </c>
      <c r="Z17" s="57" t="str">
        <f xml:space="preserve"> vbaIsError(GBMultmgr($AA$1, F17, U17, J17, K17,AA17,AB17))</f>
        <v/>
      </c>
      <c r="AA17" s="72" t="str">
        <f xml:space="preserve"> vbaIsError(ResDwn(GBLowMgr($AA$1, F17, U17, J17, K17,O17, $AA$2 ), FC17))</f>
        <v/>
      </c>
      <c r="AB17" s="72" t="str">
        <f xml:space="preserve"> vbaIsError(ResUp(GBUpMgr($AA$1, F17, U17, J17, K17,O17, $AA$2 ), FC17))</f>
        <v/>
      </c>
      <c r="AC17" s="57" t="str">
        <f xml:space="preserve"> vbaIsError(PFAWGBmgr(F17, U17, J17, K17,O17,$AA$2,AA17,AB17))</f>
        <v/>
      </c>
      <c r="AD17" s="57" t="str">
        <f xml:space="preserve"> vbaIsError(PFRWGBmgr(F17, U17, J17, K17,O17,$AA$2,AA17,AB17))</f>
        <v/>
      </c>
      <c r="AE17" s="254" t="str">
        <f xml:space="preserve"> vbaIsError(CalIntwGBMgr(F17,U17,J17,K17,O17,$AA$2,$AC$1,AA17,AB17,R17,$AC$2,$AA$3))</f>
        <v/>
      </c>
      <c r="AF17" s="260" t="str">
        <f xml:space="preserve"> vbaIsError(CalIntMgr(F17,U17,J17,K17,O17,$AA$2,$AC$1,R17,$AC$2,$AA$3,$AA$1))</f>
        <v/>
      </c>
      <c r="AG17" s="57" t="str">
        <f xml:space="preserve"> vbaIsError(CalRelMgr(F17,U17,J17,K17,O17,$AA$2,$AC$1,R17,$AC$2,$AA$3,$AA$1))</f>
        <v/>
      </c>
      <c r="AH17" s="256"/>
      <c r="AI17" s="3"/>
      <c r="AJ17" s="4"/>
      <c r="AK17" s="5"/>
      <c r="AL17" s="4"/>
      <c r="AM17" s="4"/>
      <c r="AN17" s="3"/>
      <c r="AO17" s="5"/>
      <c r="AP17" s="3"/>
      <c r="AQ17" s="4"/>
      <c r="AR17" s="5"/>
      <c r="AS17" s="4"/>
      <c r="AT17" s="4"/>
      <c r="AU17" s="3"/>
      <c r="AV17" s="5"/>
      <c r="AW17" s="3"/>
      <c r="AX17" s="4"/>
      <c r="AY17" s="5"/>
      <c r="AZ17" s="4"/>
      <c r="BA17" s="4"/>
      <c r="BB17" s="3"/>
      <c r="BC17" s="5"/>
      <c r="BD17" s="3"/>
      <c r="BE17" s="4"/>
      <c r="BF17" s="5"/>
      <c r="BG17" s="4"/>
      <c r="BH17" s="4"/>
      <c r="BI17" s="3"/>
      <c r="BJ17" s="5"/>
      <c r="BK17" s="3"/>
      <c r="BL17" s="4"/>
      <c r="BM17" s="5"/>
      <c r="BN17" s="4"/>
      <c r="BO17" s="4"/>
      <c r="BP17" s="3"/>
      <c r="BQ17" s="5"/>
      <c r="BR17" s="3"/>
      <c r="BS17" s="4"/>
      <c r="BT17" s="5"/>
      <c r="BU17" s="4"/>
      <c r="BV17" s="4"/>
      <c r="BW17" s="3"/>
      <c r="BX17" s="5"/>
      <c r="BY17" s="3"/>
      <c r="BZ17" s="4"/>
      <c r="CA17" s="5"/>
      <c r="CB17" s="4"/>
      <c r="CC17" s="4"/>
      <c r="CD17" s="3"/>
      <c r="CE17" s="5"/>
      <c r="CF17" s="3"/>
      <c r="CG17" s="4"/>
      <c r="CH17" s="5"/>
      <c r="CI17" s="4"/>
      <c r="CJ17" s="4"/>
      <c r="CK17" s="3"/>
      <c r="CL17" s="5"/>
      <c r="CM17" s="3"/>
      <c r="CN17" s="4"/>
      <c r="CO17" s="5"/>
      <c r="CP17" s="4"/>
      <c r="CQ17" s="4"/>
      <c r="CR17" s="3"/>
      <c r="CS17" s="5"/>
      <c r="CT17" s="3"/>
      <c r="CU17" s="4"/>
      <c r="CV17" s="5"/>
      <c r="CW17" s="4"/>
      <c r="CX17" s="4"/>
      <c r="CY17" s="3"/>
      <c r="CZ17" s="5"/>
      <c r="DA17" s="3"/>
      <c r="DB17" s="4"/>
      <c r="DC17" s="5"/>
      <c r="DD17" s="4"/>
      <c r="DE17" s="4"/>
      <c r="DF17" s="3"/>
      <c r="DG17" s="5"/>
      <c r="DH17" s="3"/>
      <c r="DI17" s="4"/>
      <c r="DJ17" s="5"/>
      <c r="DK17" s="4"/>
      <c r="DL17" s="4"/>
      <c r="DM17" s="3"/>
      <c r="DN17" s="5"/>
      <c r="DO17" s="3"/>
      <c r="DP17" s="4"/>
      <c r="DQ17" s="5"/>
      <c r="DR17" s="4"/>
      <c r="DS17" s="4"/>
      <c r="DT17" s="3"/>
      <c r="DU17" s="5"/>
      <c r="DV17" s="3"/>
      <c r="DW17" s="4"/>
      <c r="DX17" s="5"/>
      <c r="DY17" s="4"/>
      <c r="DZ17" s="4"/>
      <c r="EA17" s="3"/>
      <c r="EB17" s="5"/>
      <c r="EC17" s="3"/>
      <c r="ED17" s="4"/>
      <c r="EE17" s="5"/>
      <c r="EF17" s="4"/>
      <c r="EG17" s="4"/>
      <c r="EH17" s="3"/>
      <c r="EI17" s="5"/>
      <c r="EJ17" s="3"/>
      <c r="EK17" s="3"/>
      <c r="EL17" s="116"/>
      <c r="EM17" s="25"/>
      <c r="EO17" s="119"/>
      <c r="EP17" s="119"/>
      <c r="EQ17" s="119"/>
      <c r="ER17" s="120"/>
      <c r="ES17" s="119"/>
      <c r="ET17" s="119"/>
      <c r="EU17" s="120"/>
      <c r="EV17" s="119"/>
      <c r="EW17" s="119"/>
      <c r="EX17" s="120"/>
      <c r="EY17" s="120"/>
      <c r="EZ17" s="119"/>
      <c r="FA17" s="119"/>
      <c r="FB17" s="120"/>
      <c r="FC17" s="119"/>
      <c r="FD17" s="119"/>
      <c r="FE17" s="119"/>
      <c r="FF17" s="119"/>
      <c r="FG17" s="120"/>
      <c r="FH17" s="119"/>
      <c r="FI17" s="119"/>
      <c r="FJ17" s="120"/>
      <c r="FK17" s="119"/>
      <c r="FL17" s="119"/>
      <c r="FM17" s="120"/>
      <c r="FN17" s="120"/>
      <c r="FO17" s="119"/>
      <c r="FP17" s="119"/>
      <c r="FQ17" s="120"/>
      <c r="FR17" s="119"/>
      <c r="FS17" s="121"/>
      <c r="FT17" s="121"/>
      <c r="FU17" s="121"/>
      <c r="FV17" s="121"/>
      <c r="FW17" s="121"/>
      <c r="FX17" s="121"/>
      <c r="FY17" s="121"/>
      <c r="FZ17" s="121"/>
      <c r="GA17" s="121"/>
      <c r="GB17" s="121"/>
      <c r="GC17" s="121"/>
      <c r="GD17" s="121"/>
      <c r="GE17" s="121"/>
      <c r="GF17" s="121"/>
      <c r="GG17" s="121"/>
      <c r="GI17" s="121"/>
      <c r="GJ17" s="121"/>
      <c r="GK17" s="121"/>
      <c r="GL17" s="121"/>
      <c r="GM17" s="121"/>
      <c r="GN17" s="121"/>
      <c r="GO17" s="121"/>
      <c r="GP17" s="121"/>
      <c r="GQ17" s="121"/>
      <c r="GR17" s="121"/>
      <c r="GS17" s="121"/>
      <c r="GT17" s="121"/>
      <c r="GU17" s="121"/>
      <c r="GV17" s="121"/>
      <c r="GW17" s="121"/>
      <c r="GX17" s="121"/>
      <c r="GZ17" s="119"/>
      <c r="HA17" s="119"/>
      <c r="HB17" s="119"/>
      <c r="HC17" s="120"/>
      <c r="HD17" s="119"/>
      <c r="HE17" s="119"/>
      <c r="HF17" s="120"/>
      <c r="HG17" s="119"/>
      <c r="HH17" s="119"/>
      <c r="HI17" s="120"/>
      <c r="HJ17" s="120"/>
      <c r="HK17" s="119"/>
      <c r="HL17" s="119"/>
      <c r="HM17" s="120"/>
      <c r="HN17" s="119"/>
      <c r="HO17" s="119"/>
      <c r="HP17" s="119"/>
      <c r="HQ17" s="120"/>
      <c r="HR17" s="119"/>
      <c r="HS17" s="119"/>
      <c r="HT17" s="120"/>
      <c r="HU17" s="119"/>
      <c r="HV17" s="119"/>
      <c r="HW17" s="120"/>
      <c r="HX17" s="120"/>
      <c r="HY17" s="119"/>
      <c r="HZ17" s="119"/>
      <c r="IA17" s="120"/>
      <c r="IB17" s="119"/>
      <c r="IC17" s="119"/>
      <c r="ID17" s="119"/>
      <c r="IE17" s="120"/>
      <c r="IF17" s="119"/>
      <c r="IG17" s="119"/>
      <c r="IH17" s="120"/>
      <c r="II17" s="119"/>
      <c r="IJ17" s="119"/>
      <c r="IK17" s="120"/>
      <c r="IL17" s="120"/>
      <c r="IM17" s="119"/>
      <c r="IN17" s="119"/>
      <c r="IO17" s="120"/>
      <c r="IP17" s="119"/>
      <c r="IQ17" s="119"/>
      <c r="IR17" s="119"/>
      <c r="IS17" s="120"/>
      <c r="IT17" s="119"/>
      <c r="IU17" s="119"/>
      <c r="IV17" s="120"/>
      <c r="IW17" s="119"/>
      <c r="IX17" s="119"/>
      <c r="IY17" s="120"/>
      <c r="IZ17" s="120"/>
      <c r="JA17" s="119"/>
      <c r="JB17" s="119"/>
      <c r="JC17" s="120"/>
      <c r="JD17" s="119"/>
      <c r="JE17" s="119"/>
      <c r="JF17" s="119"/>
      <c r="JG17" s="120"/>
      <c r="JH17" s="119"/>
      <c r="JI17" s="119"/>
      <c r="JJ17" s="120"/>
      <c r="JK17" s="119"/>
      <c r="JL17" s="119"/>
      <c r="JM17" s="120"/>
      <c r="JN17" s="120"/>
      <c r="JO17" s="119"/>
      <c r="JP17" s="119"/>
      <c r="JQ17" s="120"/>
      <c r="JR17" s="119"/>
      <c r="JS17" s="119"/>
      <c r="JT17" s="119"/>
      <c r="JU17" s="120"/>
      <c r="JV17" s="119"/>
      <c r="JW17" s="119"/>
      <c r="JX17" s="120"/>
      <c r="JY17" s="119"/>
      <c r="JZ17" s="119"/>
      <c r="KA17" s="120"/>
      <c r="KB17" s="120"/>
      <c r="KC17" s="119"/>
      <c r="KD17" s="119"/>
      <c r="KE17" s="120"/>
      <c r="KF17" s="119"/>
      <c r="KG17" s="119"/>
      <c r="KH17" s="119"/>
      <c r="KI17" s="120"/>
      <c r="KJ17" s="119"/>
      <c r="KK17" s="119"/>
      <c r="KL17" s="120"/>
      <c r="KM17" s="119"/>
      <c r="KN17" s="119"/>
      <c r="KO17" s="120"/>
      <c r="KP17" s="120"/>
      <c r="KQ17" s="119"/>
      <c r="KR17" s="119"/>
      <c r="KS17" s="120"/>
      <c r="KT17" s="119"/>
      <c r="KU17" s="119"/>
      <c r="KV17" s="119"/>
      <c r="KW17" s="120"/>
      <c r="KX17" s="119"/>
      <c r="KY17" s="119"/>
      <c r="KZ17" s="120"/>
      <c r="LA17" s="119"/>
      <c r="LB17" s="119"/>
      <c r="LC17" s="120"/>
      <c r="LD17" s="120"/>
      <c r="LE17" s="119"/>
      <c r="LF17" s="119"/>
      <c r="LG17" s="120"/>
      <c r="LH17" s="119"/>
      <c r="LI17" s="119"/>
      <c r="LJ17" s="119"/>
      <c r="LK17" s="120"/>
      <c r="LL17" s="119"/>
      <c r="LM17" s="119"/>
      <c r="LN17" s="120"/>
      <c r="LO17" s="119"/>
      <c r="LP17" s="119"/>
      <c r="LQ17" s="120"/>
      <c r="LR17" s="120"/>
      <c r="LS17" s="119"/>
      <c r="LT17" s="119"/>
      <c r="LU17" s="120"/>
      <c r="LV17" s="119"/>
      <c r="LW17" s="119"/>
      <c r="LX17" s="119"/>
      <c r="LY17" s="120"/>
      <c r="LZ17" s="119"/>
      <c r="MA17" s="119"/>
      <c r="MB17" s="120"/>
      <c r="MC17" s="119"/>
      <c r="MD17" s="119"/>
      <c r="ME17" s="120"/>
      <c r="MF17" s="120"/>
      <c r="MG17" s="119"/>
      <c r="MH17" s="119"/>
      <c r="MI17" s="120"/>
      <c r="MJ17" s="119"/>
      <c r="MK17" s="119"/>
      <c r="ML17" s="119"/>
      <c r="MM17" s="120"/>
      <c r="MN17" s="119"/>
      <c r="MO17" s="119"/>
      <c r="MP17" s="120"/>
      <c r="MQ17" s="119"/>
      <c r="MR17" s="119"/>
      <c r="MS17" s="120"/>
      <c r="MT17" s="120"/>
      <c r="MU17" s="119"/>
      <c r="MV17" s="119"/>
      <c r="MW17" s="120"/>
      <c r="MX17" s="119"/>
      <c r="MY17" s="119"/>
      <c r="MZ17" s="119"/>
      <c r="NA17" s="120"/>
      <c r="NB17" s="119"/>
      <c r="NC17" s="119"/>
      <c r="ND17" s="120"/>
      <c r="NE17" s="119"/>
      <c r="NF17" s="119"/>
      <c r="NG17" s="120"/>
      <c r="NH17" s="120"/>
      <c r="NI17" s="119"/>
      <c r="NJ17" s="119"/>
      <c r="NK17" s="120"/>
      <c r="NL17" s="119"/>
      <c r="NM17" s="119"/>
      <c r="NN17" s="119"/>
      <c r="NO17" s="120"/>
      <c r="NP17" s="119"/>
      <c r="NQ17" s="119"/>
      <c r="NR17" s="120"/>
      <c r="NS17" s="119"/>
      <c r="NT17" s="119"/>
      <c r="NU17" s="120"/>
      <c r="NV17" s="120"/>
      <c r="NW17" s="119"/>
      <c r="NX17" s="119"/>
      <c r="NY17" s="120"/>
      <c r="NZ17" s="119"/>
      <c r="OA17" s="119"/>
      <c r="OB17" s="119"/>
      <c r="OC17" s="120"/>
      <c r="OD17" s="119"/>
      <c r="OE17" s="119"/>
      <c r="OF17" s="120"/>
      <c r="OG17" s="119"/>
      <c r="OH17" s="119"/>
      <c r="OI17" s="120"/>
      <c r="OJ17" s="120"/>
      <c r="OK17" s="119"/>
      <c r="OL17" s="119"/>
      <c r="OM17" s="120"/>
      <c r="ON17" s="119"/>
      <c r="OO17" s="119"/>
      <c r="OP17" s="119"/>
      <c r="OQ17" s="120"/>
      <c r="OR17" s="119"/>
      <c r="OS17" s="119"/>
      <c r="OT17" s="120"/>
      <c r="OU17" s="119"/>
      <c r="OV17" s="119"/>
      <c r="OW17" s="120"/>
      <c r="OX17" s="120"/>
      <c r="OY17" s="119"/>
      <c r="OZ17" s="119"/>
      <c r="PA17" s="120"/>
      <c r="PC17" s="120"/>
      <c r="PD17" s="120"/>
      <c r="PE17" s="272"/>
      <c r="PF17" s="120"/>
      <c r="PG17" s="121"/>
      <c r="PH17" s="121"/>
      <c r="PI17" s="121"/>
      <c r="PJ17" s="121"/>
      <c r="PK17" s="121"/>
      <c r="PL17" s="121"/>
      <c r="PM17" s="121"/>
      <c r="PN17" s="121"/>
      <c r="PO17" s="121"/>
      <c r="PP17" s="121"/>
      <c r="PQ17" s="121"/>
      <c r="PR17" s="121"/>
      <c r="PS17" s="121"/>
      <c r="PT17" s="121"/>
      <c r="PU17" s="121"/>
    </row>
    <row r="18" spans="1:437" ht="40.700000000000003" customHeight="1" x14ac:dyDescent="0.2">
      <c r="A18" s="117"/>
      <c r="B18" s="118"/>
      <c r="C18" s="118"/>
      <c r="D18" s="118"/>
      <c r="E18" s="118"/>
      <c r="F18" s="118"/>
      <c r="G18" s="118"/>
      <c r="H18" s="118"/>
      <c r="I18" s="118"/>
      <c r="J18" s="118"/>
      <c r="K18" s="118"/>
      <c r="L18" s="118"/>
      <c r="M18" s="257"/>
      <c r="N18" s="257"/>
      <c r="O18" s="257"/>
      <c r="P18" s="118"/>
      <c r="Q18" s="253" t="str">
        <f xml:space="preserve"> vbaIsZero(CalcTAR(F18, U18, J18, K18, M18,N18))</f>
        <v/>
      </c>
      <c r="R18" s="254" t="str">
        <f xml:space="preserve"> vbaIsZero(CalcTUR(F18, U18, J18, K18, P18))</f>
        <v/>
      </c>
      <c r="S18" s="117"/>
      <c r="T18" s="122"/>
      <c r="U18" s="119"/>
      <c r="V18" s="119"/>
      <c r="W18" s="123"/>
      <c r="X18" s="57" t="str">
        <f xml:space="preserve"> vbaIsError(PFAmgr(F18, U18, J18, K18,O18, $AC$1, R18, $AC$2 ))</f>
        <v/>
      </c>
      <c r="Y18" s="57" t="str">
        <f xml:space="preserve"> vbaIsError(PFRmgr(F18, U18, J18, K18,O18, $AC$1, R18, $AC$2 ))</f>
        <v/>
      </c>
      <c r="Z18" s="57" t="str">
        <f xml:space="preserve"> vbaIsError(GBMultmgr($AA$1, F18, U18, J18, K18,AA18,AB18))</f>
        <v/>
      </c>
      <c r="AA18" s="72" t="str">
        <f xml:space="preserve"> vbaIsError(ResDwn(GBLowMgr($AA$1, F18, U18, J18, K18,O18, $AA$2 ), FC18))</f>
        <v/>
      </c>
      <c r="AB18" s="72" t="str">
        <f xml:space="preserve"> vbaIsError(ResUp(GBUpMgr($AA$1, F18, U18, J18, K18,O18, $AA$2 ), FC18))</f>
        <v/>
      </c>
      <c r="AC18" s="57" t="str">
        <f xml:space="preserve"> vbaIsError(PFAWGBmgr(F18, U18, J18, K18,O18,$AA$2,AA18,AB18))</f>
        <v/>
      </c>
      <c r="AD18" s="57" t="str">
        <f xml:space="preserve"> vbaIsError(PFRWGBmgr(F18, U18, J18, K18,O18,$AA$2,AA18,AB18))</f>
        <v/>
      </c>
      <c r="AE18" s="254" t="str">
        <f xml:space="preserve"> vbaIsError(CalIntwGBMgr(F18,U18,J18,K18,O18,$AA$2,$AC$1,AA18,AB18,R18,$AC$2,$AA$3))</f>
        <v/>
      </c>
      <c r="AF18" s="260" t="str">
        <f xml:space="preserve"> vbaIsError(CalIntMgr(F18,U18,J18,K18,O18,$AA$2,$AC$1,R18,$AC$2,$AA$3,$AA$1))</f>
        <v/>
      </c>
      <c r="AG18" s="57" t="str">
        <f xml:space="preserve"> vbaIsError(CalRelMgr(F18,U18,J18,K18,O18,$AA$2,$AC$1,R18,$AC$2,$AA$3,$AA$1))</f>
        <v/>
      </c>
      <c r="AH18" s="256"/>
      <c r="AI18" s="3"/>
      <c r="AJ18" s="4"/>
      <c r="AK18" s="5"/>
      <c r="AL18" s="4"/>
      <c r="AM18" s="4"/>
      <c r="AN18" s="3"/>
      <c r="AO18" s="5"/>
      <c r="AP18" s="3"/>
      <c r="AQ18" s="4"/>
      <c r="AR18" s="5"/>
      <c r="AS18" s="4"/>
      <c r="AT18" s="4"/>
      <c r="AU18" s="3"/>
      <c r="AV18" s="5"/>
      <c r="AW18" s="3"/>
      <c r="AX18" s="4"/>
      <c r="AY18" s="5"/>
      <c r="AZ18" s="4"/>
      <c r="BA18" s="4"/>
      <c r="BB18" s="3"/>
      <c r="BC18" s="5"/>
      <c r="BD18" s="3"/>
      <c r="BE18" s="4"/>
      <c r="BF18" s="5"/>
      <c r="BG18" s="4"/>
      <c r="BH18" s="4"/>
      <c r="BI18" s="3"/>
      <c r="BJ18" s="5"/>
      <c r="BK18" s="3"/>
      <c r="BL18" s="4"/>
      <c r="BM18" s="5"/>
      <c r="BN18" s="4"/>
      <c r="BO18" s="4"/>
      <c r="BP18" s="3"/>
      <c r="BQ18" s="5"/>
      <c r="BR18" s="3"/>
      <c r="BS18" s="4"/>
      <c r="BT18" s="5"/>
      <c r="BU18" s="4"/>
      <c r="BV18" s="4"/>
      <c r="BW18" s="3"/>
      <c r="BX18" s="5"/>
      <c r="BY18" s="3"/>
      <c r="BZ18" s="4"/>
      <c r="CA18" s="5"/>
      <c r="CB18" s="4"/>
      <c r="CC18" s="4"/>
      <c r="CD18" s="3"/>
      <c r="CE18" s="5"/>
      <c r="CF18" s="3"/>
      <c r="CG18" s="4"/>
      <c r="CH18" s="5"/>
      <c r="CI18" s="4"/>
      <c r="CJ18" s="4"/>
      <c r="CK18" s="3"/>
      <c r="CL18" s="5"/>
      <c r="CM18" s="3"/>
      <c r="CN18" s="4"/>
      <c r="CO18" s="5"/>
      <c r="CP18" s="4"/>
      <c r="CQ18" s="4"/>
      <c r="CR18" s="3"/>
      <c r="CS18" s="5"/>
      <c r="CT18" s="3"/>
      <c r="CU18" s="4"/>
      <c r="CV18" s="5"/>
      <c r="CW18" s="4"/>
      <c r="CX18" s="4"/>
      <c r="CY18" s="3"/>
      <c r="CZ18" s="5"/>
      <c r="DA18" s="3"/>
      <c r="DB18" s="4"/>
      <c r="DC18" s="5"/>
      <c r="DD18" s="4"/>
      <c r="DE18" s="4"/>
      <c r="DF18" s="3"/>
      <c r="DG18" s="5"/>
      <c r="DH18" s="3"/>
      <c r="DI18" s="4"/>
      <c r="DJ18" s="5"/>
      <c r="DK18" s="4"/>
      <c r="DL18" s="4"/>
      <c r="DM18" s="3"/>
      <c r="DN18" s="5"/>
      <c r="DO18" s="3"/>
      <c r="DP18" s="4"/>
      <c r="DQ18" s="5"/>
      <c r="DR18" s="4"/>
      <c r="DS18" s="4"/>
      <c r="DT18" s="3"/>
      <c r="DU18" s="5"/>
      <c r="DV18" s="3"/>
      <c r="DW18" s="4"/>
      <c r="DX18" s="5"/>
      <c r="DY18" s="4"/>
      <c r="DZ18" s="4"/>
      <c r="EA18" s="3"/>
      <c r="EB18" s="5"/>
      <c r="EC18" s="3"/>
      <c r="ED18" s="4"/>
      <c r="EE18" s="5"/>
      <c r="EF18" s="4"/>
      <c r="EG18" s="4"/>
      <c r="EH18" s="3"/>
      <c r="EI18" s="5"/>
      <c r="EJ18" s="3"/>
      <c r="EK18" s="3"/>
      <c r="EL18" s="116"/>
      <c r="EM18" s="25"/>
      <c r="EO18" s="119"/>
      <c r="EP18" s="119"/>
      <c r="EQ18" s="119"/>
      <c r="ER18" s="120"/>
      <c r="ES18" s="119"/>
      <c r="ET18" s="119"/>
      <c r="EU18" s="120"/>
      <c r="EV18" s="119"/>
      <c r="EW18" s="119"/>
      <c r="EX18" s="120"/>
      <c r="EY18" s="120"/>
      <c r="EZ18" s="119"/>
      <c r="FA18" s="119"/>
      <c r="FB18" s="120"/>
      <c r="FC18" s="119"/>
      <c r="FD18" s="119"/>
      <c r="FE18" s="119"/>
      <c r="FF18" s="119"/>
      <c r="FG18" s="120"/>
      <c r="FH18" s="119"/>
      <c r="FI18" s="119"/>
      <c r="FJ18" s="120"/>
      <c r="FK18" s="119"/>
      <c r="FL18" s="119"/>
      <c r="FM18" s="120"/>
      <c r="FN18" s="120"/>
      <c r="FO18" s="119"/>
      <c r="FP18" s="119"/>
      <c r="FQ18" s="120"/>
      <c r="FR18" s="119"/>
      <c r="FS18" s="121"/>
      <c r="FT18" s="121"/>
      <c r="FU18" s="121"/>
      <c r="FV18" s="121"/>
      <c r="FW18" s="121"/>
      <c r="FX18" s="121"/>
      <c r="FY18" s="121"/>
      <c r="FZ18" s="121"/>
      <c r="GA18" s="121"/>
      <c r="GB18" s="121"/>
      <c r="GC18" s="121"/>
      <c r="GD18" s="121"/>
      <c r="GE18" s="121"/>
      <c r="GF18" s="121"/>
      <c r="GG18" s="121"/>
      <c r="GI18" s="121"/>
      <c r="GJ18" s="121"/>
      <c r="GK18" s="121"/>
      <c r="GL18" s="121"/>
      <c r="GM18" s="121"/>
      <c r="GN18" s="121"/>
      <c r="GO18" s="121"/>
      <c r="GP18" s="121"/>
      <c r="GQ18" s="121"/>
      <c r="GR18" s="121"/>
      <c r="GS18" s="121"/>
      <c r="GT18" s="121"/>
      <c r="GU18" s="121"/>
      <c r="GV18" s="121"/>
      <c r="GW18" s="121"/>
      <c r="GX18" s="121"/>
      <c r="GZ18" s="119"/>
      <c r="HA18" s="119"/>
      <c r="HB18" s="119"/>
      <c r="HC18" s="120"/>
      <c r="HD18" s="119"/>
      <c r="HE18" s="119"/>
      <c r="HF18" s="120"/>
      <c r="HG18" s="119"/>
      <c r="HH18" s="119"/>
      <c r="HI18" s="120"/>
      <c r="HJ18" s="120"/>
      <c r="HK18" s="119"/>
      <c r="HL18" s="119"/>
      <c r="HM18" s="120"/>
      <c r="HN18" s="119"/>
      <c r="HO18" s="119"/>
      <c r="HP18" s="119"/>
      <c r="HQ18" s="120"/>
      <c r="HR18" s="119"/>
      <c r="HS18" s="119"/>
      <c r="HT18" s="120"/>
      <c r="HU18" s="119"/>
      <c r="HV18" s="119"/>
      <c r="HW18" s="120"/>
      <c r="HX18" s="120"/>
      <c r="HY18" s="119"/>
      <c r="HZ18" s="119"/>
      <c r="IA18" s="120"/>
      <c r="IB18" s="119"/>
      <c r="IC18" s="119"/>
      <c r="ID18" s="119"/>
      <c r="IE18" s="120"/>
      <c r="IF18" s="119"/>
      <c r="IG18" s="119"/>
      <c r="IH18" s="120"/>
      <c r="II18" s="119"/>
      <c r="IJ18" s="119"/>
      <c r="IK18" s="120"/>
      <c r="IL18" s="120"/>
      <c r="IM18" s="119"/>
      <c r="IN18" s="119"/>
      <c r="IO18" s="120"/>
      <c r="IP18" s="119"/>
      <c r="IQ18" s="119"/>
      <c r="IR18" s="119"/>
      <c r="IS18" s="120"/>
      <c r="IT18" s="119"/>
      <c r="IU18" s="119"/>
      <c r="IV18" s="120"/>
      <c r="IW18" s="119"/>
      <c r="IX18" s="119"/>
      <c r="IY18" s="120"/>
      <c r="IZ18" s="120"/>
      <c r="JA18" s="119"/>
      <c r="JB18" s="119"/>
      <c r="JC18" s="120"/>
      <c r="JD18" s="119"/>
      <c r="JE18" s="119"/>
      <c r="JF18" s="119"/>
      <c r="JG18" s="120"/>
      <c r="JH18" s="119"/>
      <c r="JI18" s="119"/>
      <c r="JJ18" s="120"/>
      <c r="JK18" s="119"/>
      <c r="JL18" s="119"/>
      <c r="JM18" s="120"/>
      <c r="JN18" s="120"/>
      <c r="JO18" s="119"/>
      <c r="JP18" s="119"/>
      <c r="JQ18" s="120"/>
      <c r="JR18" s="119"/>
      <c r="JS18" s="119"/>
      <c r="JT18" s="119"/>
      <c r="JU18" s="120"/>
      <c r="JV18" s="119"/>
      <c r="JW18" s="119"/>
      <c r="JX18" s="120"/>
      <c r="JY18" s="119"/>
      <c r="JZ18" s="119"/>
      <c r="KA18" s="120"/>
      <c r="KB18" s="120"/>
      <c r="KC18" s="119"/>
      <c r="KD18" s="119"/>
      <c r="KE18" s="120"/>
      <c r="KF18" s="119"/>
      <c r="KG18" s="119"/>
      <c r="KH18" s="119"/>
      <c r="KI18" s="120"/>
      <c r="KJ18" s="119"/>
      <c r="KK18" s="119"/>
      <c r="KL18" s="120"/>
      <c r="KM18" s="119"/>
      <c r="KN18" s="119"/>
      <c r="KO18" s="120"/>
      <c r="KP18" s="120"/>
      <c r="KQ18" s="119"/>
      <c r="KR18" s="119"/>
      <c r="KS18" s="120"/>
      <c r="KT18" s="119"/>
      <c r="KU18" s="119"/>
      <c r="KV18" s="119"/>
      <c r="KW18" s="120"/>
      <c r="KX18" s="119"/>
      <c r="KY18" s="119"/>
      <c r="KZ18" s="120"/>
      <c r="LA18" s="119"/>
      <c r="LB18" s="119"/>
      <c r="LC18" s="120"/>
      <c r="LD18" s="120"/>
      <c r="LE18" s="119"/>
      <c r="LF18" s="119"/>
      <c r="LG18" s="120"/>
      <c r="LH18" s="119"/>
      <c r="LI18" s="119"/>
      <c r="LJ18" s="119"/>
      <c r="LK18" s="120"/>
      <c r="LL18" s="119"/>
      <c r="LM18" s="119"/>
      <c r="LN18" s="120"/>
      <c r="LO18" s="119"/>
      <c r="LP18" s="119"/>
      <c r="LQ18" s="120"/>
      <c r="LR18" s="120"/>
      <c r="LS18" s="119"/>
      <c r="LT18" s="119"/>
      <c r="LU18" s="120"/>
      <c r="LV18" s="119"/>
      <c r="LW18" s="119"/>
      <c r="LX18" s="119"/>
      <c r="LY18" s="120"/>
      <c r="LZ18" s="119"/>
      <c r="MA18" s="119"/>
      <c r="MB18" s="120"/>
      <c r="MC18" s="119"/>
      <c r="MD18" s="119"/>
      <c r="ME18" s="120"/>
      <c r="MF18" s="120"/>
      <c r="MG18" s="119"/>
      <c r="MH18" s="119"/>
      <c r="MI18" s="120"/>
      <c r="MJ18" s="119"/>
      <c r="MK18" s="119"/>
      <c r="ML18" s="119"/>
      <c r="MM18" s="120"/>
      <c r="MN18" s="119"/>
      <c r="MO18" s="119"/>
      <c r="MP18" s="120"/>
      <c r="MQ18" s="119"/>
      <c r="MR18" s="119"/>
      <c r="MS18" s="120"/>
      <c r="MT18" s="120"/>
      <c r="MU18" s="119"/>
      <c r="MV18" s="119"/>
      <c r="MW18" s="120"/>
      <c r="MX18" s="119"/>
      <c r="MY18" s="119"/>
      <c r="MZ18" s="119"/>
      <c r="NA18" s="120"/>
      <c r="NB18" s="119"/>
      <c r="NC18" s="119"/>
      <c r="ND18" s="120"/>
      <c r="NE18" s="119"/>
      <c r="NF18" s="119"/>
      <c r="NG18" s="120"/>
      <c r="NH18" s="120"/>
      <c r="NI18" s="119"/>
      <c r="NJ18" s="119"/>
      <c r="NK18" s="120"/>
      <c r="NL18" s="119"/>
      <c r="NM18" s="119"/>
      <c r="NN18" s="119"/>
      <c r="NO18" s="120"/>
      <c r="NP18" s="119"/>
      <c r="NQ18" s="119"/>
      <c r="NR18" s="120"/>
      <c r="NS18" s="119"/>
      <c r="NT18" s="119"/>
      <c r="NU18" s="120"/>
      <c r="NV18" s="120"/>
      <c r="NW18" s="119"/>
      <c r="NX18" s="119"/>
      <c r="NY18" s="120"/>
      <c r="NZ18" s="119"/>
      <c r="OA18" s="119"/>
      <c r="OB18" s="119"/>
      <c r="OC18" s="120"/>
      <c r="OD18" s="119"/>
      <c r="OE18" s="119"/>
      <c r="OF18" s="120"/>
      <c r="OG18" s="119"/>
      <c r="OH18" s="119"/>
      <c r="OI18" s="120"/>
      <c r="OJ18" s="120"/>
      <c r="OK18" s="119"/>
      <c r="OL18" s="119"/>
      <c r="OM18" s="120"/>
      <c r="ON18" s="119"/>
      <c r="OO18" s="119"/>
      <c r="OP18" s="119"/>
      <c r="OQ18" s="120"/>
      <c r="OR18" s="119"/>
      <c r="OS18" s="119"/>
      <c r="OT18" s="120"/>
      <c r="OU18" s="119"/>
      <c r="OV18" s="119"/>
      <c r="OW18" s="120"/>
      <c r="OX18" s="120"/>
      <c r="OY18" s="119"/>
      <c r="OZ18" s="119"/>
      <c r="PA18" s="120"/>
      <c r="PC18" s="120"/>
      <c r="PD18" s="120"/>
      <c r="PE18" s="272"/>
      <c r="PF18" s="120"/>
      <c r="PG18" s="121"/>
      <c r="PH18" s="121"/>
      <c r="PI18" s="121"/>
      <c r="PJ18" s="121"/>
      <c r="PK18" s="121"/>
      <c r="PL18" s="121"/>
      <c r="PM18" s="121"/>
      <c r="PN18" s="121"/>
      <c r="PO18" s="121"/>
      <c r="PP18" s="121"/>
      <c r="PQ18" s="121"/>
      <c r="PR18" s="121"/>
      <c r="PS18" s="121"/>
      <c r="PT18" s="121"/>
      <c r="PU18" s="121"/>
    </row>
    <row r="19" spans="1:437" ht="40.700000000000003" customHeight="1" x14ac:dyDescent="0.2">
      <c r="A19" s="117"/>
      <c r="B19" s="118"/>
      <c r="C19" s="118"/>
      <c r="D19" s="118"/>
      <c r="E19" s="118"/>
      <c r="F19" s="118"/>
      <c r="G19" s="118"/>
      <c r="H19" s="118"/>
      <c r="I19" s="118"/>
      <c r="J19" s="118"/>
      <c r="K19" s="118"/>
      <c r="L19" s="118"/>
      <c r="M19" s="257"/>
      <c r="N19" s="257"/>
      <c r="O19" s="257"/>
      <c r="P19" s="118"/>
      <c r="Q19" s="253" t="str">
        <f xml:space="preserve"> vbaIsZero(CalcTAR(F19, U19, J19, K19, M19,N19))</f>
        <v/>
      </c>
      <c r="R19" s="254" t="str">
        <f xml:space="preserve"> vbaIsZero(CalcTUR(F19, U19, J19, K19, P19))</f>
        <v/>
      </c>
      <c r="S19" s="117"/>
      <c r="T19" s="122"/>
      <c r="U19" s="119"/>
      <c r="V19" s="119"/>
      <c r="W19" s="123"/>
      <c r="X19" s="57" t="str">
        <f xml:space="preserve"> vbaIsError(PFAmgr(F19, U19, J19, K19,O19, $AC$1, R19, $AC$2 ))</f>
        <v/>
      </c>
      <c r="Y19" s="57" t="str">
        <f xml:space="preserve"> vbaIsError(PFRmgr(F19, U19, J19, K19,O19, $AC$1, R19, $AC$2 ))</f>
        <v/>
      </c>
      <c r="Z19" s="57" t="str">
        <f xml:space="preserve"> vbaIsError(GBMultmgr($AA$1, F19, U19, J19, K19,AA19,AB19))</f>
        <v/>
      </c>
      <c r="AA19" s="72" t="str">
        <f xml:space="preserve"> vbaIsError(ResDwn(GBLowMgr($AA$1, F19, U19, J19, K19,O19, $AA$2 ), FC19))</f>
        <v/>
      </c>
      <c r="AB19" s="72" t="str">
        <f xml:space="preserve"> vbaIsError(ResUp(GBUpMgr($AA$1, F19, U19, J19, K19,O19, $AA$2 ), FC19))</f>
        <v/>
      </c>
      <c r="AC19" s="57" t="str">
        <f xml:space="preserve"> vbaIsError(PFAWGBmgr(F19, U19, J19, K19,O19,$AA$2,AA19,AB19))</f>
        <v/>
      </c>
      <c r="AD19" s="57" t="str">
        <f xml:space="preserve"> vbaIsError(PFRWGBmgr(F19, U19, J19, K19,O19,$AA$2,AA19,AB19))</f>
        <v/>
      </c>
      <c r="AE19" s="254" t="str">
        <f xml:space="preserve"> vbaIsError(CalIntwGBMgr(F19,U19,J19,K19,O19,$AA$2,$AC$1,AA19,AB19,R19,$AC$2,$AA$3))</f>
        <v/>
      </c>
      <c r="AF19" s="260" t="str">
        <f xml:space="preserve"> vbaIsError(CalIntMgr(F19,U19,J19,K19,O19,$AA$2,$AC$1,R19,$AC$2,$AA$3,$AA$1))</f>
        <v/>
      </c>
      <c r="AG19" s="57" t="str">
        <f xml:space="preserve"> vbaIsError(CalRelMgr(F19,U19,J19,K19,O19,$AA$2,$AC$1,R19,$AC$2,$AA$3,$AA$1))</f>
        <v/>
      </c>
      <c r="AH19" s="256"/>
      <c r="AI19" s="3"/>
      <c r="AJ19" s="4"/>
      <c r="AK19" s="5"/>
      <c r="AL19" s="4"/>
      <c r="AM19" s="4"/>
      <c r="AN19" s="3"/>
      <c r="AO19" s="5"/>
      <c r="AP19" s="3"/>
      <c r="AQ19" s="4"/>
      <c r="AR19" s="5"/>
      <c r="AS19" s="4"/>
      <c r="AT19" s="4"/>
      <c r="AU19" s="3"/>
      <c r="AV19" s="5"/>
      <c r="AW19" s="3"/>
      <c r="AX19" s="4"/>
      <c r="AY19" s="5"/>
      <c r="AZ19" s="4"/>
      <c r="BA19" s="4"/>
      <c r="BB19" s="3"/>
      <c r="BC19" s="5"/>
      <c r="BD19" s="3"/>
      <c r="BE19" s="4"/>
      <c r="BF19" s="5"/>
      <c r="BG19" s="4"/>
      <c r="BH19" s="4"/>
      <c r="BI19" s="3"/>
      <c r="BJ19" s="5"/>
      <c r="BK19" s="3"/>
      <c r="BL19" s="4"/>
      <c r="BM19" s="5"/>
      <c r="BN19" s="4"/>
      <c r="BO19" s="4"/>
      <c r="BP19" s="3"/>
      <c r="BQ19" s="5"/>
      <c r="BR19" s="3"/>
      <c r="BS19" s="4"/>
      <c r="BT19" s="5"/>
      <c r="BU19" s="4"/>
      <c r="BV19" s="4"/>
      <c r="BW19" s="3"/>
      <c r="BX19" s="5"/>
      <c r="BY19" s="3"/>
      <c r="BZ19" s="4"/>
      <c r="CA19" s="5"/>
      <c r="CB19" s="4"/>
      <c r="CC19" s="4"/>
      <c r="CD19" s="3"/>
      <c r="CE19" s="5"/>
      <c r="CF19" s="3"/>
      <c r="CG19" s="4"/>
      <c r="CH19" s="5"/>
      <c r="CI19" s="4"/>
      <c r="CJ19" s="4"/>
      <c r="CK19" s="3"/>
      <c r="CL19" s="5"/>
      <c r="CM19" s="3"/>
      <c r="CN19" s="4"/>
      <c r="CO19" s="5"/>
      <c r="CP19" s="4"/>
      <c r="CQ19" s="4"/>
      <c r="CR19" s="3"/>
      <c r="CS19" s="5"/>
      <c r="CT19" s="3"/>
      <c r="CU19" s="4"/>
      <c r="CV19" s="5"/>
      <c r="CW19" s="4"/>
      <c r="CX19" s="4"/>
      <c r="CY19" s="3"/>
      <c r="CZ19" s="5"/>
      <c r="DA19" s="3"/>
      <c r="DB19" s="4"/>
      <c r="DC19" s="5"/>
      <c r="DD19" s="4"/>
      <c r="DE19" s="4"/>
      <c r="DF19" s="3"/>
      <c r="DG19" s="5"/>
      <c r="DH19" s="3"/>
      <c r="DI19" s="4"/>
      <c r="DJ19" s="5"/>
      <c r="DK19" s="4"/>
      <c r="DL19" s="4"/>
      <c r="DM19" s="3"/>
      <c r="DN19" s="5"/>
      <c r="DO19" s="3"/>
      <c r="DP19" s="4"/>
      <c r="DQ19" s="5"/>
      <c r="DR19" s="4"/>
      <c r="DS19" s="4"/>
      <c r="DT19" s="3"/>
      <c r="DU19" s="5"/>
      <c r="DV19" s="3"/>
      <c r="DW19" s="4"/>
      <c r="DX19" s="5"/>
      <c r="DY19" s="4"/>
      <c r="DZ19" s="4"/>
      <c r="EA19" s="3"/>
      <c r="EB19" s="5"/>
      <c r="EC19" s="3"/>
      <c r="ED19" s="4"/>
      <c r="EE19" s="5"/>
      <c r="EF19" s="4"/>
      <c r="EG19" s="4"/>
      <c r="EH19" s="3"/>
      <c r="EI19" s="5"/>
      <c r="EJ19" s="3"/>
      <c r="EK19" s="3"/>
      <c r="EL19" s="116"/>
      <c r="EM19" s="25"/>
      <c r="EO19" s="119"/>
      <c r="EP19" s="119"/>
      <c r="EQ19" s="119"/>
      <c r="ER19" s="120"/>
      <c r="ES19" s="119"/>
      <c r="ET19" s="119"/>
      <c r="EU19" s="120"/>
      <c r="EV19" s="119"/>
      <c r="EW19" s="119"/>
      <c r="EX19" s="120"/>
      <c r="EY19" s="120"/>
      <c r="EZ19" s="119"/>
      <c r="FA19" s="119"/>
      <c r="FB19" s="120"/>
      <c r="FC19" s="119"/>
      <c r="FD19" s="119"/>
      <c r="FE19" s="119"/>
      <c r="FF19" s="119"/>
      <c r="FG19" s="120"/>
      <c r="FH19" s="119"/>
      <c r="FI19" s="119"/>
      <c r="FJ19" s="120"/>
      <c r="FK19" s="119"/>
      <c r="FL19" s="119"/>
      <c r="FM19" s="120"/>
      <c r="FN19" s="120"/>
      <c r="FO19" s="119"/>
      <c r="FP19" s="119"/>
      <c r="FQ19" s="120"/>
      <c r="FR19" s="119"/>
      <c r="FS19" s="121"/>
      <c r="FT19" s="121"/>
      <c r="FU19" s="121"/>
      <c r="FV19" s="121"/>
      <c r="FW19" s="121"/>
      <c r="FX19" s="121"/>
      <c r="FY19" s="121"/>
      <c r="FZ19" s="121"/>
      <c r="GA19" s="121"/>
      <c r="GB19" s="121"/>
      <c r="GC19" s="121"/>
      <c r="GD19" s="121"/>
      <c r="GE19" s="121"/>
      <c r="GF19" s="121"/>
      <c r="GG19" s="121"/>
      <c r="GI19" s="121"/>
      <c r="GJ19" s="121"/>
      <c r="GK19" s="121"/>
      <c r="GL19" s="121"/>
      <c r="GM19" s="121"/>
      <c r="GN19" s="121"/>
      <c r="GO19" s="121"/>
      <c r="GP19" s="121"/>
      <c r="GQ19" s="121"/>
      <c r="GR19" s="121"/>
      <c r="GS19" s="121"/>
      <c r="GT19" s="121"/>
      <c r="GU19" s="121"/>
      <c r="GV19" s="121"/>
      <c r="GW19" s="121"/>
      <c r="GX19" s="121"/>
      <c r="GZ19" s="119"/>
      <c r="HA19" s="119"/>
      <c r="HB19" s="119"/>
      <c r="HC19" s="120"/>
      <c r="HD19" s="119"/>
      <c r="HE19" s="119"/>
      <c r="HF19" s="120"/>
      <c r="HG19" s="119"/>
      <c r="HH19" s="119"/>
      <c r="HI19" s="120"/>
      <c r="HJ19" s="120"/>
      <c r="HK19" s="119"/>
      <c r="HL19" s="119"/>
      <c r="HM19" s="120"/>
      <c r="HN19" s="119"/>
      <c r="HO19" s="119"/>
      <c r="HP19" s="119"/>
      <c r="HQ19" s="120"/>
      <c r="HR19" s="119"/>
      <c r="HS19" s="119"/>
      <c r="HT19" s="120"/>
      <c r="HU19" s="119"/>
      <c r="HV19" s="119"/>
      <c r="HW19" s="120"/>
      <c r="HX19" s="120"/>
      <c r="HY19" s="119"/>
      <c r="HZ19" s="119"/>
      <c r="IA19" s="120"/>
      <c r="IB19" s="119"/>
      <c r="IC19" s="119"/>
      <c r="ID19" s="119"/>
      <c r="IE19" s="120"/>
      <c r="IF19" s="119"/>
      <c r="IG19" s="119"/>
      <c r="IH19" s="120"/>
      <c r="II19" s="119"/>
      <c r="IJ19" s="119"/>
      <c r="IK19" s="120"/>
      <c r="IL19" s="120"/>
      <c r="IM19" s="119"/>
      <c r="IN19" s="119"/>
      <c r="IO19" s="120"/>
      <c r="IP19" s="119"/>
      <c r="IQ19" s="119"/>
      <c r="IR19" s="119"/>
      <c r="IS19" s="120"/>
      <c r="IT19" s="119"/>
      <c r="IU19" s="119"/>
      <c r="IV19" s="120"/>
      <c r="IW19" s="119"/>
      <c r="IX19" s="119"/>
      <c r="IY19" s="120"/>
      <c r="IZ19" s="120"/>
      <c r="JA19" s="119"/>
      <c r="JB19" s="119"/>
      <c r="JC19" s="120"/>
      <c r="JD19" s="119"/>
      <c r="JE19" s="119"/>
      <c r="JF19" s="119"/>
      <c r="JG19" s="120"/>
      <c r="JH19" s="119"/>
      <c r="JI19" s="119"/>
      <c r="JJ19" s="120"/>
      <c r="JK19" s="119"/>
      <c r="JL19" s="119"/>
      <c r="JM19" s="120"/>
      <c r="JN19" s="120"/>
      <c r="JO19" s="119"/>
      <c r="JP19" s="119"/>
      <c r="JQ19" s="120"/>
      <c r="JR19" s="119"/>
      <c r="JS19" s="119"/>
      <c r="JT19" s="119"/>
      <c r="JU19" s="120"/>
      <c r="JV19" s="119"/>
      <c r="JW19" s="119"/>
      <c r="JX19" s="120"/>
      <c r="JY19" s="119"/>
      <c r="JZ19" s="119"/>
      <c r="KA19" s="120"/>
      <c r="KB19" s="120"/>
      <c r="KC19" s="119"/>
      <c r="KD19" s="119"/>
      <c r="KE19" s="120"/>
      <c r="KF19" s="119"/>
      <c r="KG19" s="119"/>
      <c r="KH19" s="119"/>
      <c r="KI19" s="120"/>
      <c r="KJ19" s="119"/>
      <c r="KK19" s="119"/>
      <c r="KL19" s="120"/>
      <c r="KM19" s="119"/>
      <c r="KN19" s="119"/>
      <c r="KO19" s="120"/>
      <c r="KP19" s="120"/>
      <c r="KQ19" s="119"/>
      <c r="KR19" s="119"/>
      <c r="KS19" s="120"/>
      <c r="KT19" s="119"/>
      <c r="KU19" s="119"/>
      <c r="KV19" s="119"/>
      <c r="KW19" s="120"/>
      <c r="KX19" s="119"/>
      <c r="KY19" s="119"/>
      <c r="KZ19" s="120"/>
      <c r="LA19" s="119"/>
      <c r="LB19" s="119"/>
      <c r="LC19" s="120"/>
      <c r="LD19" s="120"/>
      <c r="LE19" s="119"/>
      <c r="LF19" s="119"/>
      <c r="LG19" s="120"/>
      <c r="LH19" s="119"/>
      <c r="LI19" s="119"/>
      <c r="LJ19" s="119"/>
      <c r="LK19" s="120"/>
      <c r="LL19" s="119"/>
      <c r="LM19" s="119"/>
      <c r="LN19" s="120"/>
      <c r="LO19" s="119"/>
      <c r="LP19" s="119"/>
      <c r="LQ19" s="120"/>
      <c r="LR19" s="120"/>
      <c r="LS19" s="119"/>
      <c r="LT19" s="119"/>
      <c r="LU19" s="120"/>
      <c r="LV19" s="119"/>
      <c r="LW19" s="119"/>
      <c r="LX19" s="119"/>
      <c r="LY19" s="120"/>
      <c r="LZ19" s="119"/>
      <c r="MA19" s="119"/>
      <c r="MB19" s="120"/>
      <c r="MC19" s="119"/>
      <c r="MD19" s="119"/>
      <c r="ME19" s="120"/>
      <c r="MF19" s="120"/>
      <c r="MG19" s="119"/>
      <c r="MH19" s="119"/>
      <c r="MI19" s="120"/>
      <c r="MJ19" s="119"/>
      <c r="MK19" s="119"/>
      <c r="ML19" s="119"/>
      <c r="MM19" s="120"/>
      <c r="MN19" s="119"/>
      <c r="MO19" s="119"/>
      <c r="MP19" s="120"/>
      <c r="MQ19" s="119"/>
      <c r="MR19" s="119"/>
      <c r="MS19" s="120"/>
      <c r="MT19" s="120"/>
      <c r="MU19" s="119"/>
      <c r="MV19" s="119"/>
      <c r="MW19" s="120"/>
      <c r="MX19" s="119"/>
      <c r="MY19" s="119"/>
      <c r="MZ19" s="119"/>
      <c r="NA19" s="120"/>
      <c r="NB19" s="119"/>
      <c r="NC19" s="119"/>
      <c r="ND19" s="120"/>
      <c r="NE19" s="119"/>
      <c r="NF19" s="119"/>
      <c r="NG19" s="120"/>
      <c r="NH19" s="120"/>
      <c r="NI19" s="119"/>
      <c r="NJ19" s="119"/>
      <c r="NK19" s="120"/>
      <c r="NL19" s="119"/>
      <c r="NM19" s="119"/>
      <c r="NN19" s="119"/>
      <c r="NO19" s="120"/>
      <c r="NP19" s="119"/>
      <c r="NQ19" s="119"/>
      <c r="NR19" s="120"/>
      <c r="NS19" s="119"/>
      <c r="NT19" s="119"/>
      <c r="NU19" s="120"/>
      <c r="NV19" s="120"/>
      <c r="NW19" s="119"/>
      <c r="NX19" s="119"/>
      <c r="NY19" s="120"/>
      <c r="NZ19" s="119"/>
      <c r="OA19" s="119"/>
      <c r="OB19" s="119"/>
      <c r="OC19" s="120"/>
      <c r="OD19" s="119"/>
      <c r="OE19" s="119"/>
      <c r="OF19" s="120"/>
      <c r="OG19" s="119"/>
      <c r="OH19" s="119"/>
      <c r="OI19" s="120"/>
      <c r="OJ19" s="120"/>
      <c r="OK19" s="119"/>
      <c r="OL19" s="119"/>
      <c r="OM19" s="120"/>
      <c r="ON19" s="119"/>
      <c r="OO19" s="119"/>
      <c r="OP19" s="119"/>
      <c r="OQ19" s="120"/>
      <c r="OR19" s="119"/>
      <c r="OS19" s="119"/>
      <c r="OT19" s="120"/>
      <c r="OU19" s="119"/>
      <c r="OV19" s="119"/>
      <c r="OW19" s="120"/>
      <c r="OX19" s="120"/>
      <c r="OY19" s="119"/>
      <c r="OZ19" s="119"/>
      <c r="PA19" s="120"/>
      <c r="PC19" s="120"/>
      <c r="PD19" s="120"/>
      <c r="PE19" s="272"/>
      <c r="PF19" s="120"/>
      <c r="PG19" s="121"/>
      <c r="PH19" s="121"/>
      <c r="PI19" s="121"/>
      <c r="PJ19" s="121"/>
      <c r="PK19" s="121"/>
      <c r="PL19" s="121"/>
      <c r="PM19" s="121"/>
      <c r="PN19" s="121"/>
      <c r="PO19" s="121"/>
      <c r="PP19" s="121"/>
      <c r="PQ19" s="121"/>
      <c r="PR19" s="121"/>
      <c r="PS19" s="121"/>
      <c r="PT19" s="121"/>
      <c r="PU19" s="121"/>
    </row>
    <row r="20" spans="1:437" ht="40.700000000000003" customHeight="1" x14ac:dyDescent="0.2">
      <c r="A20" s="117"/>
      <c r="B20" s="118"/>
      <c r="C20" s="118"/>
      <c r="D20" s="118"/>
      <c r="E20" s="118"/>
      <c r="F20" s="118"/>
      <c r="G20" s="118"/>
      <c r="H20" s="118"/>
      <c r="I20" s="118"/>
      <c r="J20" s="118"/>
      <c r="K20" s="118"/>
      <c r="L20" s="118"/>
      <c r="M20" s="257"/>
      <c r="N20" s="257"/>
      <c r="O20" s="257"/>
      <c r="P20" s="118"/>
      <c r="Q20" s="253" t="str">
        <f xml:space="preserve"> vbaIsZero(CalcTAR(F20, U20, J20, K20, M20,N20))</f>
        <v/>
      </c>
      <c r="R20" s="254" t="str">
        <f xml:space="preserve"> vbaIsZero(CalcTUR(F20, U20, J20, K20, P20))</f>
        <v/>
      </c>
      <c r="S20" s="117"/>
      <c r="T20" s="122"/>
      <c r="U20" s="119"/>
      <c r="V20" s="119"/>
      <c r="W20" s="123"/>
      <c r="X20" s="57" t="str">
        <f xml:space="preserve"> vbaIsError(PFAmgr(F20, U20, J20, K20,O20, $AC$1, R20, $AC$2 ))</f>
        <v/>
      </c>
      <c r="Y20" s="57" t="str">
        <f xml:space="preserve"> vbaIsError(PFRmgr(F20, U20, J20, K20,O20, $AC$1, R20, $AC$2 ))</f>
        <v/>
      </c>
      <c r="Z20" s="57" t="str">
        <f xml:space="preserve"> vbaIsError(GBMultmgr($AA$1, F20, U20, J20, K20,AA20,AB20))</f>
        <v/>
      </c>
      <c r="AA20" s="72" t="str">
        <f xml:space="preserve"> vbaIsError(ResDwn(GBLowMgr($AA$1, F20, U20, J20, K20,O20, $AA$2 ), FC20))</f>
        <v/>
      </c>
      <c r="AB20" s="72" t="str">
        <f xml:space="preserve"> vbaIsError(ResUp(GBUpMgr($AA$1, F20, U20, J20, K20,O20, $AA$2 ), FC20))</f>
        <v/>
      </c>
      <c r="AC20" s="57" t="str">
        <f xml:space="preserve"> vbaIsError(PFAWGBmgr(F20, U20, J20, K20,O20,$AA$2,AA20,AB20))</f>
        <v/>
      </c>
      <c r="AD20" s="57" t="str">
        <f xml:space="preserve"> vbaIsError(PFRWGBmgr(F20, U20, J20, K20,O20,$AA$2,AA20,AB20))</f>
        <v/>
      </c>
      <c r="AE20" s="254" t="str">
        <f xml:space="preserve"> vbaIsError(CalIntwGBMgr(F20,U20,J20,K20,O20,$AA$2,$AC$1,AA20,AB20,R20,$AC$2,$AA$3))</f>
        <v/>
      </c>
      <c r="AF20" s="260" t="str">
        <f xml:space="preserve"> vbaIsError(CalIntMgr(F20,U20,J20,K20,O20,$AA$2,$AC$1,R20,$AC$2,$AA$3,$AA$1))</f>
        <v/>
      </c>
      <c r="AG20" s="57" t="str">
        <f xml:space="preserve"> vbaIsError(CalRelMgr(F20,U20,J20,K20,O20,$AA$2,$AC$1,R20,$AC$2,$AA$3,$AA$1))</f>
        <v/>
      </c>
      <c r="AH20" s="256"/>
      <c r="AI20" s="3"/>
      <c r="AJ20" s="4"/>
      <c r="AK20" s="5"/>
      <c r="AL20" s="4"/>
      <c r="AM20" s="4"/>
      <c r="AN20" s="3"/>
      <c r="AO20" s="5"/>
      <c r="AP20" s="3"/>
      <c r="AQ20" s="4"/>
      <c r="AR20" s="5"/>
      <c r="AS20" s="4"/>
      <c r="AT20" s="4"/>
      <c r="AU20" s="3"/>
      <c r="AV20" s="5"/>
      <c r="AW20" s="3"/>
      <c r="AX20" s="4"/>
      <c r="AY20" s="5"/>
      <c r="AZ20" s="4"/>
      <c r="BA20" s="4"/>
      <c r="BB20" s="3"/>
      <c r="BC20" s="5"/>
      <c r="BD20" s="3"/>
      <c r="BE20" s="4"/>
      <c r="BF20" s="5"/>
      <c r="BG20" s="4"/>
      <c r="BH20" s="4"/>
      <c r="BI20" s="3"/>
      <c r="BJ20" s="5"/>
      <c r="BK20" s="3"/>
      <c r="BL20" s="4"/>
      <c r="BM20" s="5"/>
      <c r="BN20" s="4"/>
      <c r="BO20" s="4"/>
      <c r="BP20" s="3"/>
      <c r="BQ20" s="5"/>
      <c r="BR20" s="3"/>
      <c r="BS20" s="4"/>
      <c r="BT20" s="5"/>
      <c r="BU20" s="4"/>
      <c r="BV20" s="4"/>
      <c r="BW20" s="3"/>
      <c r="BX20" s="5"/>
      <c r="BY20" s="3"/>
      <c r="BZ20" s="4"/>
      <c r="CA20" s="5"/>
      <c r="CB20" s="4"/>
      <c r="CC20" s="4"/>
      <c r="CD20" s="3"/>
      <c r="CE20" s="5"/>
      <c r="CF20" s="3"/>
      <c r="CG20" s="4"/>
      <c r="CH20" s="5"/>
      <c r="CI20" s="4"/>
      <c r="CJ20" s="4"/>
      <c r="CK20" s="3"/>
      <c r="CL20" s="5"/>
      <c r="CM20" s="3"/>
      <c r="CN20" s="4"/>
      <c r="CO20" s="5"/>
      <c r="CP20" s="4"/>
      <c r="CQ20" s="4"/>
      <c r="CR20" s="3"/>
      <c r="CS20" s="5"/>
      <c r="CT20" s="3"/>
      <c r="CU20" s="4"/>
      <c r="CV20" s="5"/>
      <c r="CW20" s="4"/>
      <c r="CX20" s="4"/>
      <c r="CY20" s="3"/>
      <c r="CZ20" s="5"/>
      <c r="DA20" s="3"/>
      <c r="DB20" s="4"/>
      <c r="DC20" s="5"/>
      <c r="DD20" s="4"/>
      <c r="DE20" s="4"/>
      <c r="DF20" s="3"/>
      <c r="DG20" s="5"/>
      <c r="DH20" s="3"/>
      <c r="DI20" s="4"/>
      <c r="DJ20" s="5"/>
      <c r="DK20" s="4"/>
      <c r="DL20" s="4"/>
      <c r="DM20" s="3"/>
      <c r="DN20" s="5"/>
      <c r="DO20" s="3"/>
      <c r="DP20" s="4"/>
      <c r="DQ20" s="5"/>
      <c r="DR20" s="4"/>
      <c r="DS20" s="4"/>
      <c r="DT20" s="3"/>
      <c r="DU20" s="5"/>
      <c r="DV20" s="3"/>
      <c r="DW20" s="4"/>
      <c r="DX20" s="5"/>
      <c r="DY20" s="4"/>
      <c r="DZ20" s="4"/>
      <c r="EA20" s="3"/>
      <c r="EB20" s="5"/>
      <c r="EC20" s="3"/>
      <c r="ED20" s="4"/>
      <c r="EE20" s="5"/>
      <c r="EF20" s="4"/>
      <c r="EG20" s="4"/>
      <c r="EH20" s="3"/>
      <c r="EI20" s="5"/>
      <c r="EJ20" s="3"/>
      <c r="EK20" s="3"/>
      <c r="EL20" s="116"/>
      <c r="EM20" s="25"/>
      <c r="EO20" s="119"/>
      <c r="EP20" s="119"/>
      <c r="EQ20" s="119"/>
      <c r="ER20" s="120"/>
      <c r="ES20" s="119"/>
      <c r="ET20" s="119"/>
      <c r="EU20" s="120"/>
      <c r="EV20" s="119"/>
      <c r="EW20" s="119"/>
      <c r="EX20" s="120"/>
      <c r="EY20" s="120"/>
      <c r="EZ20" s="119"/>
      <c r="FA20" s="119"/>
      <c r="FB20" s="120"/>
      <c r="FC20" s="119"/>
      <c r="FD20" s="119"/>
      <c r="FE20" s="119"/>
      <c r="FF20" s="119"/>
      <c r="FG20" s="120"/>
      <c r="FH20" s="119"/>
      <c r="FI20" s="119"/>
      <c r="FJ20" s="120"/>
      <c r="FK20" s="119"/>
      <c r="FL20" s="119"/>
      <c r="FM20" s="120"/>
      <c r="FN20" s="120"/>
      <c r="FO20" s="119"/>
      <c r="FP20" s="119"/>
      <c r="FQ20" s="120"/>
      <c r="FR20" s="119"/>
      <c r="FS20" s="121"/>
      <c r="FT20" s="121"/>
      <c r="FU20" s="121"/>
      <c r="FV20" s="121"/>
      <c r="FW20" s="121"/>
      <c r="FX20" s="121"/>
      <c r="FY20" s="121"/>
      <c r="FZ20" s="121"/>
      <c r="GA20" s="121"/>
      <c r="GB20" s="121"/>
      <c r="GC20" s="121"/>
      <c r="GD20" s="121"/>
      <c r="GE20" s="121"/>
      <c r="GF20" s="121"/>
      <c r="GG20" s="121"/>
      <c r="GI20" s="121"/>
      <c r="GJ20" s="121"/>
      <c r="GK20" s="121"/>
      <c r="GL20" s="121"/>
      <c r="GM20" s="121"/>
      <c r="GN20" s="121"/>
      <c r="GO20" s="121"/>
      <c r="GP20" s="121"/>
      <c r="GQ20" s="121"/>
      <c r="GR20" s="121"/>
      <c r="GS20" s="121"/>
      <c r="GT20" s="121"/>
      <c r="GU20" s="121"/>
      <c r="GV20" s="121"/>
      <c r="GW20" s="121"/>
      <c r="GX20" s="121"/>
      <c r="GZ20" s="119"/>
      <c r="HA20" s="119"/>
      <c r="HB20" s="119"/>
      <c r="HC20" s="120"/>
      <c r="HD20" s="119"/>
      <c r="HE20" s="119"/>
      <c r="HF20" s="120"/>
      <c r="HG20" s="119"/>
      <c r="HH20" s="119"/>
      <c r="HI20" s="120"/>
      <c r="HJ20" s="120"/>
      <c r="HK20" s="119"/>
      <c r="HL20" s="119"/>
      <c r="HM20" s="120"/>
      <c r="HN20" s="119"/>
      <c r="HO20" s="119"/>
      <c r="HP20" s="119"/>
      <c r="HQ20" s="120"/>
      <c r="HR20" s="119"/>
      <c r="HS20" s="119"/>
      <c r="HT20" s="120"/>
      <c r="HU20" s="119"/>
      <c r="HV20" s="119"/>
      <c r="HW20" s="120"/>
      <c r="HX20" s="120"/>
      <c r="HY20" s="119"/>
      <c r="HZ20" s="119"/>
      <c r="IA20" s="120"/>
      <c r="IB20" s="119"/>
      <c r="IC20" s="119"/>
      <c r="ID20" s="119"/>
      <c r="IE20" s="120"/>
      <c r="IF20" s="119"/>
      <c r="IG20" s="119"/>
      <c r="IH20" s="120"/>
      <c r="II20" s="119"/>
      <c r="IJ20" s="119"/>
      <c r="IK20" s="120"/>
      <c r="IL20" s="120"/>
      <c r="IM20" s="119"/>
      <c r="IN20" s="119"/>
      <c r="IO20" s="120"/>
      <c r="IP20" s="119"/>
      <c r="IQ20" s="119"/>
      <c r="IR20" s="119"/>
      <c r="IS20" s="120"/>
      <c r="IT20" s="119"/>
      <c r="IU20" s="119"/>
      <c r="IV20" s="120"/>
      <c r="IW20" s="119"/>
      <c r="IX20" s="119"/>
      <c r="IY20" s="120"/>
      <c r="IZ20" s="120"/>
      <c r="JA20" s="119"/>
      <c r="JB20" s="119"/>
      <c r="JC20" s="120"/>
      <c r="JD20" s="119"/>
      <c r="JE20" s="119"/>
      <c r="JF20" s="119"/>
      <c r="JG20" s="120"/>
      <c r="JH20" s="119"/>
      <c r="JI20" s="119"/>
      <c r="JJ20" s="120"/>
      <c r="JK20" s="119"/>
      <c r="JL20" s="119"/>
      <c r="JM20" s="120"/>
      <c r="JN20" s="120"/>
      <c r="JO20" s="119"/>
      <c r="JP20" s="119"/>
      <c r="JQ20" s="120"/>
      <c r="JR20" s="119"/>
      <c r="JS20" s="119"/>
      <c r="JT20" s="119"/>
      <c r="JU20" s="120"/>
      <c r="JV20" s="119"/>
      <c r="JW20" s="119"/>
      <c r="JX20" s="120"/>
      <c r="JY20" s="119"/>
      <c r="JZ20" s="119"/>
      <c r="KA20" s="120"/>
      <c r="KB20" s="120"/>
      <c r="KC20" s="119"/>
      <c r="KD20" s="119"/>
      <c r="KE20" s="120"/>
      <c r="KF20" s="119"/>
      <c r="KG20" s="119"/>
      <c r="KH20" s="119"/>
      <c r="KI20" s="120"/>
      <c r="KJ20" s="119"/>
      <c r="KK20" s="119"/>
      <c r="KL20" s="120"/>
      <c r="KM20" s="119"/>
      <c r="KN20" s="119"/>
      <c r="KO20" s="120"/>
      <c r="KP20" s="120"/>
      <c r="KQ20" s="119"/>
      <c r="KR20" s="119"/>
      <c r="KS20" s="120"/>
      <c r="KT20" s="119"/>
      <c r="KU20" s="119"/>
      <c r="KV20" s="119"/>
      <c r="KW20" s="120"/>
      <c r="KX20" s="119"/>
      <c r="KY20" s="119"/>
      <c r="KZ20" s="120"/>
      <c r="LA20" s="119"/>
      <c r="LB20" s="119"/>
      <c r="LC20" s="120"/>
      <c r="LD20" s="120"/>
      <c r="LE20" s="119"/>
      <c r="LF20" s="119"/>
      <c r="LG20" s="120"/>
      <c r="LH20" s="119"/>
      <c r="LI20" s="119"/>
      <c r="LJ20" s="119"/>
      <c r="LK20" s="120"/>
      <c r="LL20" s="119"/>
      <c r="LM20" s="119"/>
      <c r="LN20" s="120"/>
      <c r="LO20" s="119"/>
      <c r="LP20" s="119"/>
      <c r="LQ20" s="120"/>
      <c r="LR20" s="120"/>
      <c r="LS20" s="119"/>
      <c r="LT20" s="119"/>
      <c r="LU20" s="120"/>
      <c r="LV20" s="119"/>
      <c r="LW20" s="119"/>
      <c r="LX20" s="119"/>
      <c r="LY20" s="120"/>
      <c r="LZ20" s="119"/>
      <c r="MA20" s="119"/>
      <c r="MB20" s="120"/>
      <c r="MC20" s="119"/>
      <c r="MD20" s="119"/>
      <c r="ME20" s="120"/>
      <c r="MF20" s="120"/>
      <c r="MG20" s="119"/>
      <c r="MH20" s="119"/>
      <c r="MI20" s="120"/>
      <c r="MJ20" s="119"/>
      <c r="MK20" s="119"/>
      <c r="ML20" s="119"/>
      <c r="MM20" s="120"/>
      <c r="MN20" s="119"/>
      <c r="MO20" s="119"/>
      <c r="MP20" s="120"/>
      <c r="MQ20" s="119"/>
      <c r="MR20" s="119"/>
      <c r="MS20" s="120"/>
      <c r="MT20" s="120"/>
      <c r="MU20" s="119"/>
      <c r="MV20" s="119"/>
      <c r="MW20" s="120"/>
      <c r="MX20" s="119"/>
      <c r="MY20" s="119"/>
      <c r="MZ20" s="119"/>
      <c r="NA20" s="120"/>
      <c r="NB20" s="119"/>
      <c r="NC20" s="119"/>
      <c r="ND20" s="120"/>
      <c r="NE20" s="119"/>
      <c r="NF20" s="119"/>
      <c r="NG20" s="120"/>
      <c r="NH20" s="120"/>
      <c r="NI20" s="119"/>
      <c r="NJ20" s="119"/>
      <c r="NK20" s="120"/>
      <c r="NL20" s="119"/>
      <c r="NM20" s="119"/>
      <c r="NN20" s="119"/>
      <c r="NO20" s="120"/>
      <c r="NP20" s="119"/>
      <c r="NQ20" s="119"/>
      <c r="NR20" s="120"/>
      <c r="NS20" s="119"/>
      <c r="NT20" s="119"/>
      <c r="NU20" s="120"/>
      <c r="NV20" s="120"/>
      <c r="NW20" s="119"/>
      <c r="NX20" s="119"/>
      <c r="NY20" s="120"/>
      <c r="NZ20" s="119"/>
      <c r="OA20" s="119"/>
      <c r="OB20" s="119"/>
      <c r="OC20" s="120"/>
      <c r="OD20" s="119"/>
      <c r="OE20" s="119"/>
      <c r="OF20" s="120"/>
      <c r="OG20" s="119"/>
      <c r="OH20" s="119"/>
      <c r="OI20" s="120"/>
      <c r="OJ20" s="120"/>
      <c r="OK20" s="119"/>
      <c r="OL20" s="119"/>
      <c r="OM20" s="120"/>
      <c r="ON20" s="119"/>
      <c r="OO20" s="119"/>
      <c r="OP20" s="119"/>
      <c r="OQ20" s="120"/>
      <c r="OR20" s="119"/>
      <c r="OS20" s="119"/>
      <c r="OT20" s="120"/>
      <c r="OU20" s="119"/>
      <c r="OV20" s="119"/>
      <c r="OW20" s="120"/>
      <c r="OX20" s="120"/>
      <c r="OY20" s="119"/>
      <c r="OZ20" s="119"/>
      <c r="PA20" s="120"/>
      <c r="PC20" s="120"/>
      <c r="PD20" s="120"/>
      <c r="PE20" s="272"/>
      <c r="PF20" s="120"/>
      <c r="PG20" s="121"/>
      <c r="PH20" s="121"/>
      <c r="PI20" s="121"/>
      <c r="PJ20" s="121"/>
      <c r="PK20" s="121"/>
      <c r="PL20" s="121"/>
      <c r="PM20" s="121"/>
      <c r="PN20" s="121"/>
      <c r="PO20" s="121"/>
      <c r="PP20" s="121"/>
      <c r="PQ20" s="121"/>
      <c r="PR20" s="121"/>
      <c r="PS20" s="121"/>
      <c r="PT20" s="121"/>
      <c r="PU20" s="121"/>
    </row>
    <row r="21" spans="1:437" ht="40.700000000000003" customHeight="1" x14ac:dyDescent="0.2">
      <c r="A21" s="117"/>
      <c r="B21" s="118"/>
      <c r="C21" s="118"/>
      <c r="D21" s="118"/>
      <c r="E21" s="118"/>
      <c r="F21" s="118"/>
      <c r="G21" s="118"/>
      <c r="H21" s="118"/>
      <c r="I21" s="118"/>
      <c r="J21" s="118"/>
      <c r="K21" s="118"/>
      <c r="L21" s="118"/>
      <c r="M21" s="257"/>
      <c r="N21" s="257"/>
      <c r="O21" s="257"/>
      <c r="P21" s="118"/>
      <c r="Q21" s="253" t="str">
        <f xml:space="preserve"> vbaIsZero(CalcTAR(F21, U21, J21, K21, M21,N21))</f>
        <v/>
      </c>
      <c r="R21" s="254" t="str">
        <f xml:space="preserve"> vbaIsZero(CalcTUR(F21, U21, J21, K21, P21))</f>
        <v/>
      </c>
      <c r="S21" s="117"/>
      <c r="T21" s="122"/>
      <c r="U21" s="119"/>
      <c r="V21" s="119"/>
      <c r="W21" s="123"/>
      <c r="X21" s="57" t="str">
        <f xml:space="preserve"> vbaIsError(PFAmgr(F21, U21, J21, K21,O21, $AC$1, R21, $AC$2 ))</f>
        <v/>
      </c>
      <c r="Y21" s="57" t="str">
        <f xml:space="preserve"> vbaIsError(PFRmgr(F21, U21, J21, K21,O21, $AC$1, R21, $AC$2 ))</f>
        <v/>
      </c>
      <c r="Z21" s="57" t="str">
        <f xml:space="preserve"> vbaIsError(GBMultmgr($AA$1, F21, U21, J21, K21,AA21,AB21))</f>
        <v/>
      </c>
      <c r="AA21" s="72" t="str">
        <f xml:space="preserve"> vbaIsError(ResDwn(GBLowMgr($AA$1, F21, U21, J21, K21,O21, $AA$2 ), FC21))</f>
        <v/>
      </c>
      <c r="AB21" s="72" t="str">
        <f xml:space="preserve"> vbaIsError(ResUp(GBUpMgr($AA$1, F21, U21, J21, K21,O21, $AA$2 ), FC21))</f>
        <v/>
      </c>
      <c r="AC21" s="57" t="str">
        <f xml:space="preserve"> vbaIsError(PFAWGBmgr(F21, U21, J21, K21,O21,$AA$2,AA21,AB21))</f>
        <v/>
      </c>
      <c r="AD21" s="57" t="str">
        <f xml:space="preserve"> vbaIsError(PFRWGBmgr(F21, U21, J21, K21,O21,$AA$2,AA21,AB21))</f>
        <v/>
      </c>
      <c r="AE21" s="254" t="str">
        <f xml:space="preserve"> vbaIsError(CalIntwGBMgr(F21,U21,J21,K21,O21,$AA$2,$AC$1,AA21,AB21,R21,$AC$2,$AA$3))</f>
        <v/>
      </c>
      <c r="AF21" s="260" t="str">
        <f xml:space="preserve"> vbaIsError(CalIntMgr(F21,U21,J21,K21,O21,$AA$2,$AC$1,R21,$AC$2,$AA$3,$AA$1))</f>
        <v/>
      </c>
      <c r="AG21" s="57" t="str">
        <f xml:space="preserve"> vbaIsError(CalRelMgr(F21,U21,J21,K21,O21,$AA$2,$AC$1,R21,$AC$2,$AA$3,$AA$1))</f>
        <v/>
      </c>
      <c r="AH21" s="256"/>
      <c r="AI21" s="3"/>
      <c r="AJ21" s="4"/>
      <c r="AK21" s="5"/>
      <c r="AL21" s="4"/>
      <c r="AM21" s="4"/>
      <c r="AN21" s="3"/>
      <c r="AO21" s="5"/>
      <c r="AP21" s="3"/>
      <c r="AQ21" s="4"/>
      <c r="AR21" s="5"/>
      <c r="AS21" s="4"/>
      <c r="AT21" s="4"/>
      <c r="AU21" s="3"/>
      <c r="AV21" s="5"/>
      <c r="AW21" s="3"/>
      <c r="AX21" s="4"/>
      <c r="AY21" s="5"/>
      <c r="AZ21" s="4"/>
      <c r="BA21" s="4"/>
      <c r="BB21" s="3"/>
      <c r="BC21" s="5"/>
      <c r="BD21" s="3"/>
      <c r="BE21" s="4"/>
      <c r="BF21" s="5"/>
      <c r="BG21" s="4"/>
      <c r="BH21" s="4"/>
      <c r="BI21" s="3"/>
      <c r="BJ21" s="5"/>
      <c r="BK21" s="3"/>
      <c r="BL21" s="4"/>
      <c r="BM21" s="5"/>
      <c r="BN21" s="4"/>
      <c r="BO21" s="4"/>
      <c r="BP21" s="3"/>
      <c r="BQ21" s="5"/>
      <c r="BR21" s="3"/>
      <c r="BS21" s="4"/>
      <c r="BT21" s="5"/>
      <c r="BU21" s="4"/>
      <c r="BV21" s="4"/>
      <c r="BW21" s="3"/>
      <c r="BX21" s="5"/>
      <c r="BY21" s="3"/>
      <c r="BZ21" s="4"/>
      <c r="CA21" s="5"/>
      <c r="CB21" s="4"/>
      <c r="CC21" s="4"/>
      <c r="CD21" s="3"/>
      <c r="CE21" s="5"/>
      <c r="CF21" s="3"/>
      <c r="CG21" s="4"/>
      <c r="CH21" s="5"/>
      <c r="CI21" s="4"/>
      <c r="CJ21" s="4"/>
      <c r="CK21" s="3"/>
      <c r="CL21" s="5"/>
      <c r="CM21" s="3"/>
      <c r="CN21" s="4"/>
      <c r="CO21" s="5"/>
      <c r="CP21" s="4"/>
      <c r="CQ21" s="4"/>
      <c r="CR21" s="3"/>
      <c r="CS21" s="5"/>
      <c r="CT21" s="3"/>
      <c r="CU21" s="4"/>
      <c r="CV21" s="5"/>
      <c r="CW21" s="4"/>
      <c r="CX21" s="4"/>
      <c r="CY21" s="3"/>
      <c r="CZ21" s="5"/>
      <c r="DA21" s="3"/>
      <c r="DB21" s="4"/>
      <c r="DC21" s="5"/>
      <c r="DD21" s="4"/>
      <c r="DE21" s="4"/>
      <c r="DF21" s="3"/>
      <c r="DG21" s="5"/>
      <c r="DH21" s="3"/>
      <c r="DI21" s="4"/>
      <c r="DJ21" s="5"/>
      <c r="DK21" s="4"/>
      <c r="DL21" s="4"/>
      <c r="DM21" s="3"/>
      <c r="DN21" s="5"/>
      <c r="DO21" s="3"/>
      <c r="DP21" s="4"/>
      <c r="DQ21" s="5"/>
      <c r="DR21" s="4"/>
      <c r="DS21" s="4"/>
      <c r="DT21" s="3"/>
      <c r="DU21" s="5"/>
      <c r="DV21" s="3"/>
      <c r="DW21" s="4"/>
      <c r="DX21" s="5"/>
      <c r="DY21" s="4"/>
      <c r="DZ21" s="4"/>
      <c r="EA21" s="3"/>
      <c r="EB21" s="5"/>
      <c r="EC21" s="3"/>
      <c r="ED21" s="4"/>
      <c r="EE21" s="5"/>
      <c r="EF21" s="4"/>
      <c r="EG21" s="4"/>
      <c r="EH21" s="3"/>
      <c r="EI21" s="5"/>
      <c r="EJ21" s="3"/>
      <c r="EK21" s="3"/>
      <c r="EL21" s="116"/>
      <c r="EM21" s="25"/>
      <c r="EO21" s="119"/>
      <c r="EP21" s="119"/>
      <c r="EQ21" s="119"/>
      <c r="ER21" s="120"/>
      <c r="ES21" s="119"/>
      <c r="ET21" s="119"/>
      <c r="EU21" s="120"/>
      <c r="EV21" s="119"/>
      <c r="EW21" s="119"/>
      <c r="EX21" s="120"/>
      <c r="EY21" s="120"/>
      <c r="EZ21" s="119"/>
      <c r="FA21" s="119"/>
      <c r="FB21" s="120"/>
      <c r="FC21" s="119"/>
      <c r="FD21" s="119"/>
      <c r="FE21" s="119"/>
      <c r="FF21" s="119"/>
      <c r="FG21" s="120"/>
      <c r="FH21" s="119"/>
      <c r="FI21" s="119"/>
      <c r="FJ21" s="120"/>
      <c r="FK21" s="119"/>
      <c r="FL21" s="119"/>
      <c r="FM21" s="120"/>
      <c r="FN21" s="120"/>
      <c r="FO21" s="119"/>
      <c r="FP21" s="119"/>
      <c r="FQ21" s="120"/>
      <c r="FR21" s="119"/>
      <c r="FS21" s="121"/>
      <c r="FT21" s="121"/>
      <c r="FU21" s="121"/>
      <c r="FV21" s="121"/>
      <c r="FW21" s="121"/>
      <c r="FX21" s="121"/>
      <c r="FY21" s="121"/>
      <c r="FZ21" s="121"/>
      <c r="GA21" s="121"/>
      <c r="GB21" s="121"/>
      <c r="GC21" s="121"/>
      <c r="GD21" s="121"/>
      <c r="GE21" s="121"/>
      <c r="GF21" s="121"/>
      <c r="GG21" s="121"/>
      <c r="GI21" s="121"/>
      <c r="GJ21" s="121"/>
      <c r="GK21" s="121"/>
      <c r="GL21" s="121"/>
      <c r="GM21" s="121"/>
      <c r="GN21" s="121"/>
      <c r="GO21" s="121"/>
      <c r="GP21" s="121"/>
      <c r="GQ21" s="121"/>
      <c r="GR21" s="121"/>
      <c r="GS21" s="121"/>
      <c r="GT21" s="121"/>
      <c r="GU21" s="121"/>
      <c r="GV21" s="121"/>
      <c r="GW21" s="121"/>
      <c r="GX21" s="121"/>
      <c r="GZ21" s="119"/>
      <c r="HA21" s="119"/>
      <c r="HB21" s="119"/>
      <c r="HC21" s="120"/>
      <c r="HD21" s="119"/>
      <c r="HE21" s="119"/>
      <c r="HF21" s="120"/>
      <c r="HG21" s="119"/>
      <c r="HH21" s="119"/>
      <c r="HI21" s="120"/>
      <c r="HJ21" s="120"/>
      <c r="HK21" s="119"/>
      <c r="HL21" s="119"/>
      <c r="HM21" s="120"/>
      <c r="HN21" s="119"/>
      <c r="HO21" s="119"/>
      <c r="HP21" s="119"/>
      <c r="HQ21" s="120"/>
      <c r="HR21" s="119"/>
      <c r="HS21" s="119"/>
      <c r="HT21" s="120"/>
      <c r="HU21" s="119"/>
      <c r="HV21" s="119"/>
      <c r="HW21" s="120"/>
      <c r="HX21" s="120"/>
      <c r="HY21" s="119"/>
      <c r="HZ21" s="119"/>
      <c r="IA21" s="120"/>
      <c r="IB21" s="119"/>
      <c r="IC21" s="119"/>
      <c r="ID21" s="119"/>
      <c r="IE21" s="120"/>
      <c r="IF21" s="119"/>
      <c r="IG21" s="119"/>
      <c r="IH21" s="120"/>
      <c r="II21" s="119"/>
      <c r="IJ21" s="119"/>
      <c r="IK21" s="120"/>
      <c r="IL21" s="120"/>
      <c r="IM21" s="119"/>
      <c r="IN21" s="119"/>
      <c r="IO21" s="120"/>
      <c r="IP21" s="119"/>
      <c r="IQ21" s="119"/>
      <c r="IR21" s="119"/>
      <c r="IS21" s="120"/>
      <c r="IT21" s="119"/>
      <c r="IU21" s="119"/>
      <c r="IV21" s="120"/>
      <c r="IW21" s="119"/>
      <c r="IX21" s="119"/>
      <c r="IY21" s="120"/>
      <c r="IZ21" s="120"/>
      <c r="JA21" s="119"/>
      <c r="JB21" s="119"/>
      <c r="JC21" s="120"/>
      <c r="JD21" s="119"/>
      <c r="JE21" s="119"/>
      <c r="JF21" s="119"/>
      <c r="JG21" s="120"/>
      <c r="JH21" s="119"/>
      <c r="JI21" s="119"/>
      <c r="JJ21" s="120"/>
      <c r="JK21" s="119"/>
      <c r="JL21" s="119"/>
      <c r="JM21" s="120"/>
      <c r="JN21" s="120"/>
      <c r="JO21" s="119"/>
      <c r="JP21" s="119"/>
      <c r="JQ21" s="120"/>
      <c r="JR21" s="119"/>
      <c r="JS21" s="119"/>
      <c r="JT21" s="119"/>
      <c r="JU21" s="120"/>
      <c r="JV21" s="119"/>
      <c r="JW21" s="119"/>
      <c r="JX21" s="120"/>
      <c r="JY21" s="119"/>
      <c r="JZ21" s="119"/>
      <c r="KA21" s="120"/>
      <c r="KB21" s="120"/>
      <c r="KC21" s="119"/>
      <c r="KD21" s="119"/>
      <c r="KE21" s="120"/>
      <c r="KF21" s="119"/>
      <c r="KG21" s="119"/>
      <c r="KH21" s="119"/>
      <c r="KI21" s="120"/>
      <c r="KJ21" s="119"/>
      <c r="KK21" s="119"/>
      <c r="KL21" s="120"/>
      <c r="KM21" s="119"/>
      <c r="KN21" s="119"/>
      <c r="KO21" s="120"/>
      <c r="KP21" s="120"/>
      <c r="KQ21" s="119"/>
      <c r="KR21" s="119"/>
      <c r="KS21" s="120"/>
      <c r="KT21" s="119"/>
      <c r="KU21" s="119"/>
      <c r="KV21" s="119"/>
      <c r="KW21" s="120"/>
      <c r="KX21" s="119"/>
      <c r="KY21" s="119"/>
      <c r="KZ21" s="120"/>
      <c r="LA21" s="119"/>
      <c r="LB21" s="119"/>
      <c r="LC21" s="120"/>
      <c r="LD21" s="120"/>
      <c r="LE21" s="119"/>
      <c r="LF21" s="119"/>
      <c r="LG21" s="120"/>
      <c r="LH21" s="119"/>
      <c r="LI21" s="119"/>
      <c r="LJ21" s="119"/>
      <c r="LK21" s="120"/>
      <c r="LL21" s="119"/>
      <c r="LM21" s="119"/>
      <c r="LN21" s="120"/>
      <c r="LO21" s="119"/>
      <c r="LP21" s="119"/>
      <c r="LQ21" s="120"/>
      <c r="LR21" s="120"/>
      <c r="LS21" s="119"/>
      <c r="LT21" s="119"/>
      <c r="LU21" s="120"/>
      <c r="LV21" s="119"/>
      <c r="LW21" s="119"/>
      <c r="LX21" s="119"/>
      <c r="LY21" s="120"/>
      <c r="LZ21" s="119"/>
      <c r="MA21" s="119"/>
      <c r="MB21" s="120"/>
      <c r="MC21" s="119"/>
      <c r="MD21" s="119"/>
      <c r="ME21" s="120"/>
      <c r="MF21" s="120"/>
      <c r="MG21" s="119"/>
      <c r="MH21" s="119"/>
      <c r="MI21" s="120"/>
      <c r="MJ21" s="119"/>
      <c r="MK21" s="119"/>
      <c r="ML21" s="119"/>
      <c r="MM21" s="120"/>
      <c r="MN21" s="119"/>
      <c r="MO21" s="119"/>
      <c r="MP21" s="120"/>
      <c r="MQ21" s="119"/>
      <c r="MR21" s="119"/>
      <c r="MS21" s="120"/>
      <c r="MT21" s="120"/>
      <c r="MU21" s="119"/>
      <c r="MV21" s="119"/>
      <c r="MW21" s="120"/>
      <c r="MX21" s="119"/>
      <c r="MY21" s="119"/>
      <c r="MZ21" s="119"/>
      <c r="NA21" s="120"/>
      <c r="NB21" s="119"/>
      <c r="NC21" s="119"/>
      <c r="ND21" s="120"/>
      <c r="NE21" s="119"/>
      <c r="NF21" s="119"/>
      <c r="NG21" s="120"/>
      <c r="NH21" s="120"/>
      <c r="NI21" s="119"/>
      <c r="NJ21" s="119"/>
      <c r="NK21" s="120"/>
      <c r="NL21" s="119"/>
      <c r="NM21" s="119"/>
      <c r="NN21" s="119"/>
      <c r="NO21" s="120"/>
      <c r="NP21" s="119"/>
      <c r="NQ21" s="119"/>
      <c r="NR21" s="120"/>
      <c r="NS21" s="119"/>
      <c r="NT21" s="119"/>
      <c r="NU21" s="120"/>
      <c r="NV21" s="120"/>
      <c r="NW21" s="119"/>
      <c r="NX21" s="119"/>
      <c r="NY21" s="120"/>
      <c r="NZ21" s="119"/>
      <c r="OA21" s="119"/>
      <c r="OB21" s="119"/>
      <c r="OC21" s="120"/>
      <c r="OD21" s="119"/>
      <c r="OE21" s="119"/>
      <c r="OF21" s="120"/>
      <c r="OG21" s="119"/>
      <c r="OH21" s="119"/>
      <c r="OI21" s="120"/>
      <c r="OJ21" s="120"/>
      <c r="OK21" s="119"/>
      <c r="OL21" s="119"/>
      <c r="OM21" s="120"/>
      <c r="ON21" s="119"/>
      <c r="OO21" s="119"/>
      <c r="OP21" s="119"/>
      <c r="OQ21" s="120"/>
      <c r="OR21" s="119"/>
      <c r="OS21" s="119"/>
      <c r="OT21" s="120"/>
      <c r="OU21" s="119"/>
      <c r="OV21" s="119"/>
      <c r="OW21" s="120"/>
      <c r="OX21" s="120"/>
      <c r="OY21" s="119"/>
      <c r="OZ21" s="119"/>
      <c r="PA21" s="120"/>
      <c r="PC21" s="120"/>
      <c r="PD21" s="120"/>
      <c r="PE21" s="272"/>
      <c r="PF21" s="120"/>
      <c r="PG21" s="121"/>
      <c r="PH21" s="121"/>
      <c r="PI21" s="121"/>
      <c r="PJ21" s="121"/>
      <c r="PK21" s="121"/>
      <c r="PL21" s="121"/>
      <c r="PM21" s="121"/>
      <c r="PN21" s="121"/>
      <c r="PO21" s="121"/>
      <c r="PP21" s="121"/>
      <c r="PQ21" s="121"/>
      <c r="PR21" s="121"/>
      <c r="PS21" s="121"/>
      <c r="PT21" s="121"/>
      <c r="PU21" s="121"/>
    </row>
    <row r="22" spans="1:437" ht="40.700000000000003" customHeight="1" x14ac:dyDescent="0.2">
      <c r="A22" s="117"/>
      <c r="B22" s="118"/>
      <c r="C22" s="118"/>
      <c r="D22" s="118"/>
      <c r="E22" s="118"/>
      <c r="F22" s="118"/>
      <c r="G22" s="118"/>
      <c r="H22" s="118"/>
      <c r="I22" s="118"/>
      <c r="J22" s="118"/>
      <c r="K22" s="118"/>
      <c r="L22" s="118"/>
      <c r="M22" s="257"/>
      <c r="N22" s="257"/>
      <c r="O22" s="257"/>
      <c r="P22" s="118"/>
      <c r="Q22" s="253" t="str">
        <f xml:space="preserve"> vbaIsZero(CalcTAR(F22, U22, J22, K22, M22,N22))</f>
        <v/>
      </c>
      <c r="R22" s="254" t="str">
        <f xml:space="preserve"> vbaIsZero(CalcTUR(F22, U22, J22, K22, P22))</f>
        <v/>
      </c>
      <c r="S22" s="117"/>
      <c r="T22" s="122"/>
      <c r="U22" s="119"/>
      <c r="V22" s="119"/>
      <c r="W22" s="123"/>
      <c r="X22" s="57" t="str">
        <f xml:space="preserve"> vbaIsError(PFAmgr(F22, U22, J22, K22,O22, $AC$1, R22, $AC$2 ))</f>
        <v/>
      </c>
      <c r="Y22" s="57" t="str">
        <f xml:space="preserve"> vbaIsError(PFRmgr(F22, U22, J22, K22,O22, $AC$1, R22, $AC$2 ))</f>
        <v/>
      </c>
      <c r="Z22" s="57" t="str">
        <f xml:space="preserve"> vbaIsError(GBMultmgr($AA$1, F22, U22, J22, K22,AA22,AB22))</f>
        <v/>
      </c>
      <c r="AA22" s="72" t="str">
        <f xml:space="preserve"> vbaIsError(ResDwn(GBLowMgr($AA$1, F22, U22, J22, K22,O22, $AA$2 ), FC22))</f>
        <v/>
      </c>
      <c r="AB22" s="72" t="str">
        <f xml:space="preserve"> vbaIsError(ResUp(GBUpMgr($AA$1, F22, U22, J22, K22,O22, $AA$2 ), FC22))</f>
        <v/>
      </c>
      <c r="AC22" s="57" t="str">
        <f xml:space="preserve"> vbaIsError(PFAWGBmgr(F22, U22, J22, K22,O22,$AA$2,AA22,AB22))</f>
        <v/>
      </c>
      <c r="AD22" s="57" t="str">
        <f xml:space="preserve"> vbaIsError(PFRWGBmgr(F22, U22, J22, K22,O22,$AA$2,AA22,AB22))</f>
        <v/>
      </c>
      <c r="AE22" s="254" t="str">
        <f xml:space="preserve"> vbaIsError(CalIntwGBMgr(F22,U22,J22,K22,O22,$AA$2,$AC$1,AA22,AB22,R22,$AC$2,$AA$3))</f>
        <v/>
      </c>
      <c r="AF22" s="260" t="str">
        <f xml:space="preserve"> vbaIsError(CalIntMgr(F22,U22,J22,K22,O22,$AA$2,$AC$1,R22,$AC$2,$AA$3,$AA$1))</f>
        <v/>
      </c>
      <c r="AG22" s="57" t="str">
        <f xml:space="preserve"> vbaIsError(CalRelMgr(F22,U22,J22,K22,O22,$AA$2,$AC$1,R22,$AC$2,$AA$3,$AA$1))</f>
        <v/>
      </c>
      <c r="AH22" s="256"/>
      <c r="AI22" s="3"/>
      <c r="AJ22" s="4"/>
      <c r="AK22" s="5"/>
      <c r="AL22" s="4"/>
      <c r="AM22" s="4"/>
      <c r="AN22" s="3"/>
      <c r="AO22" s="5"/>
      <c r="AP22" s="3"/>
      <c r="AQ22" s="4"/>
      <c r="AR22" s="5"/>
      <c r="AS22" s="4"/>
      <c r="AT22" s="4"/>
      <c r="AU22" s="3"/>
      <c r="AV22" s="5"/>
      <c r="AW22" s="3"/>
      <c r="AX22" s="4"/>
      <c r="AY22" s="5"/>
      <c r="AZ22" s="4"/>
      <c r="BA22" s="4"/>
      <c r="BB22" s="3"/>
      <c r="BC22" s="5"/>
      <c r="BD22" s="3"/>
      <c r="BE22" s="4"/>
      <c r="BF22" s="5"/>
      <c r="BG22" s="4"/>
      <c r="BH22" s="4"/>
      <c r="BI22" s="3"/>
      <c r="BJ22" s="5"/>
      <c r="BK22" s="3"/>
      <c r="BL22" s="4"/>
      <c r="BM22" s="5"/>
      <c r="BN22" s="4"/>
      <c r="BO22" s="4"/>
      <c r="BP22" s="3"/>
      <c r="BQ22" s="5"/>
      <c r="BR22" s="3"/>
      <c r="BS22" s="4"/>
      <c r="BT22" s="5"/>
      <c r="BU22" s="4"/>
      <c r="BV22" s="4"/>
      <c r="BW22" s="3"/>
      <c r="BX22" s="5"/>
      <c r="BY22" s="3"/>
      <c r="BZ22" s="4"/>
      <c r="CA22" s="5"/>
      <c r="CB22" s="4"/>
      <c r="CC22" s="4"/>
      <c r="CD22" s="3"/>
      <c r="CE22" s="5"/>
      <c r="CF22" s="3"/>
      <c r="CG22" s="4"/>
      <c r="CH22" s="5"/>
      <c r="CI22" s="4"/>
      <c r="CJ22" s="4"/>
      <c r="CK22" s="3"/>
      <c r="CL22" s="5"/>
      <c r="CM22" s="3"/>
      <c r="CN22" s="4"/>
      <c r="CO22" s="5"/>
      <c r="CP22" s="4"/>
      <c r="CQ22" s="4"/>
      <c r="CR22" s="3"/>
      <c r="CS22" s="5"/>
      <c r="CT22" s="3"/>
      <c r="CU22" s="4"/>
      <c r="CV22" s="5"/>
      <c r="CW22" s="4"/>
      <c r="CX22" s="4"/>
      <c r="CY22" s="3"/>
      <c r="CZ22" s="5"/>
      <c r="DA22" s="3"/>
      <c r="DB22" s="4"/>
      <c r="DC22" s="5"/>
      <c r="DD22" s="4"/>
      <c r="DE22" s="4"/>
      <c r="DF22" s="3"/>
      <c r="DG22" s="5"/>
      <c r="DH22" s="3"/>
      <c r="DI22" s="4"/>
      <c r="DJ22" s="5"/>
      <c r="DK22" s="4"/>
      <c r="DL22" s="4"/>
      <c r="DM22" s="3"/>
      <c r="DN22" s="5"/>
      <c r="DO22" s="3"/>
      <c r="DP22" s="4"/>
      <c r="DQ22" s="5"/>
      <c r="DR22" s="4"/>
      <c r="DS22" s="4"/>
      <c r="DT22" s="3"/>
      <c r="DU22" s="5"/>
      <c r="DV22" s="3"/>
      <c r="DW22" s="4"/>
      <c r="DX22" s="5"/>
      <c r="DY22" s="4"/>
      <c r="DZ22" s="4"/>
      <c r="EA22" s="3"/>
      <c r="EB22" s="5"/>
      <c r="EC22" s="3"/>
      <c r="ED22" s="4"/>
      <c r="EE22" s="5"/>
      <c r="EF22" s="4"/>
      <c r="EG22" s="4"/>
      <c r="EH22" s="3"/>
      <c r="EI22" s="5"/>
      <c r="EJ22" s="3"/>
      <c r="EK22" s="3"/>
      <c r="EL22" s="116"/>
      <c r="EM22" s="25"/>
      <c r="EO22" s="119"/>
      <c r="EP22" s="119"/>
      <c r="EQ22" s="119"/>
      <c r="ER22" s="120"/>
      <c r="ES22" s="119"/>
      <c r="ET22" s="119"/>
      <c r="EU22" s="120"/>
      <c r="EV22" s="119"/>
      <c r="EW22" s="119"/>
      <c r="EX22" s="120"/>
      <c r="EY22" s="120"/>
      <c r="EZ22" s="119"/>
      <c r="FA22" s="119"/>
      <c r="FB22" s="120"/>
      <c r="FC22" s="119"/>
      <c r="FD22" s="119"/>
      <c r="FE22" s="119"/>
      <c r="FF22" s="119"/>
      <c r="FG22" s="120"/>
      <c r="FH22" s="119"/>
      <c r="FI22" s="119"/>
      <c r="FJ22" s="120"/>
      <c r="FK22" s="119"/>
      <c r="FL22" s="119"/>
      <c r="FM22" s="120"/>
      <c r="FN22" s="120"/>
      <c r="FO22" s="119"/>
      <c r="FP22" s="119"/>
      <c r="FQ22" s="120"/>
      <c r="FR22" s="119"/>
      <c r="FS22" s="121"/>
      <c r="FT22" s="121"/>
      <c r="FU22" s="121"/>
      <c r="FV22" s="121"/>
      <c r="FW22" s="121"/>
      <c r="FX22" s="121"/>
      <c r="FY22" s="121"/>
      <c r="FZ22" s="121"/>
      <c r="GA22" s="121"/>
      <c r="GB22" s="121"/>
      <c r="GC22" s="121"/>
      <c r="GD22" s="121"/>
      <c r="GE22" s="121"/>
      <c r="GF22" s="121"/>
      <c r="GG22" s="121"/>
      <c r="GI22" s="121"/>
      <c r="GJ22" s="121"/>
      <c r="GK22" s="121"/>
      <c r="GL22" s="121"/>
      <c r="GM22" s="121"/>
      <c r="GN22" s="121"/>
      <c r="GO22" s="121"/>
      <c r="GP22" s="121"/>
      <c r="GQ22" s="121"/>
      <c r="GR22" s="121"/>
      <c r="GS22" s="121"/>
      <c r="GT22" s="121"/>
      <c r="GU22" s="121"/>
      <c r="GV22" s="121"/>
      <c r="GW22" s="121"/>
      <c r="GX22" s="121"/>
      <c r="GZ22" s="119"/>
      <c r="HA22" s="119"/>
      <c r="HB22" s="119"/>
      <c r="HC22" s="120"/>
      <c r="HD22" s="119"/>
      <c r="HE22" s="119"/>
      <c r="HF22" s="120"/>
      <c r="HG22" s="119"/>
      <c r="HH22" s="119"/>
      <c r="HI22" s="120"/>
      <c r="HJ22" s="120"/>
      <c r="HK22" s="119"/>
      <c r="HL22" s="119"/>
      <c r="HM22" s="120"/>
      <c r="HN22" s="119"/>
      <c r="HO22" s="119"/>
      <c r="HP22" s="119"/>
      <c r="HQ22" s="120"/>
      <c r="HR22" s="119"/>
      <c r="HS22" s="119"/>
      <c r="HT22" s="120"/>
      <c r="HU22" s="119"/>
      <c r="HV22" s="119"/>
      <c r="HW22" s="120"/>
      <c r="HX22" s="120"/>
      <c r="HY22" s="119"/>
      <c r="HZ22" s="119"/>
      <c r="IA22" s="120"/>
      <c r="IB22" s="119"/>
      <c r="IC22" s="119"/>
      <c r="ID22" s="119"/>
      <c r="IE22" s="120"/>
      <c r="IF22" s="119"/>
      <c r="IG22" s="119"/>
      <c r="IH22" s="120"/>
      <c r="II22" s="119"/>
      <c r="IJ22" s="119"/>
      <c r="IK22" s="120"/>
      <c r="IL22" s="120"/>
      <c r="IM22" s="119"/>
      <c r="IN22" s="119"/>
      <c r="IO22" s="120"/>
      <c r="IP22" s="119"/>
      <c r="IQ22" s="119"/>
      <c r="IR22" s="119"/>
      <c r="IS22" s="120"/>
      <c r="IT22" s="119"/>
      <c r="IU22" s="119"/>
      <c r="IV22" s="120"/>
      <c r="IW22" s="119"/>
      <c r="IX22" s="119"/>
      <c r="IY22" s="120"/>
      <c r="IZ22" s="120"/>
      <c r="JA22" s="119"/>
      <c r="JB22" s="119"/>
      <c r="JC22" s="120"/>
      <c r="JD22" s="119"/>
      <c r="JE22" s="119"/>
      <c r="JF22" s="119"/>
      <c r="JG22" s="120"/>
      <c r="JH22" s="119"/>
      <c r="JI22" s="119"/>
      <c r="JJ22" s="120"/>
      <c r="JK22" s="119"/>
      <c r="JL22" s="119"/>
      <c r="JM22" s="120"/>
      <c r="JN22" s="120"/>
      <c r="JO22" s="119"/>
      <c r="JP22" s="119"/>
      <c r="JQ22" s="120"/>
      <c r="JR22" s="119"/>
      <c r="JS22" s="119"/>
      <c r="JT22" s="119"/>
      <c r="JU22" s="120"/>
      <c r="JV22" s="119"/>
      <c r="JW22" s="119"/>
      <c r="JX22" s="120"/>
      <c r="JY22" s="119"/>
      <c r="JZ22" s="119"/>
      <c r="KA22" s="120"/>
      <c r="KB22" s="120"/>
      <c r="KC22" s="119"/>
      <c r="KD22" s="119"/>
      <c r="KE22" s="120"/>
      <c r="KF22" s="119"/>
      <c r="KG22" s="119"/>
      <c r="KH22" s="119"/>
      <c r="KI22" s="120"/>
      <c r="KJ22" s="119"/>
      <c r="KK22" s="119"/>
      <c r="KL22" s="120"/>
      <c r="KM22" s="119"/>
      <c r="KN22" s="119"/>
      <c r="KO22" s="120"/>
      <c r="KP22" s="120"/>
      <c r="KQ22" s="119"/>
      <c r="KR22" s="119"/>
      <c r="KS22" s="120"/>
      <c r="KT22" s="119"/>
      <c r="KU22" s="119"/>
      <c r="KV22" s="119"/>
      <c r="KW22" s="120"/>
      <c r="KX22" s="119"/>
      <c r="KY22" s="119"/>
      <c r="KZ22" s="120"/>
      <c r="LA22" s="119"/>
      <c r="LB22" s="119"/>
      <c r="LC22" s="120"/>
      <c r="LD22" s="120"/>
      <c r="LE22" s="119"/>
      <c r="LF22" s="119"/>
      <c r="LG22" s="120"/>
      <c r="LH22" s="119"/>
      <c r="LI22" s="119"/>
      <c r="LJ22" s="119"/>
      <c r="LK22" s="120"/>
      <c r="LL22" s="119"/>
      <c r="LM22" s="119"/>
      <c r="LN22" s="120"/>
      <c r="LO22" s="119"/>
      <c r="LP22" s="119"/>
      <c r="LQ22" s="120"/>
      <c r="LR22" s="120"/>
      <c r="LS22" s="119"/>
      <c r="LT22" s="119"/>
      <c r="LU22" s="120"/>
      <c r="LV22" s="119"/>
      <c r="LW22" s="119"/>
      <c r="LX22" s="119"/>
      <c r="LY22" s="120"/>
      <c r="LZ22" s="119"/>
      <c r="MA22" s="119"/>
      <c r="MB22" s="120"/>
      <c r="MC22" s="119"/>
      <c r="MD22" s="119"/>
      <c r="ME22" s="120"/>
      <c r="MF22" s="120"/>
      <c r="MG22" s="119"/>
      <c r="MH22" s="119"/>
      <c r="MI22" s="120"/>
      <c r="MJ22" s="119"/>
      <c r="MK22" s="119"/>
      <c r="ML22" s="119"/>
      <c r="MM22" s="120"/>
      <c r="MN22" s="119"/>
      <c r="MO22" s="119"/>
      <c r="MP22" s="120"/>
      <c r="MQ22" s="119"/>
      <c r="MR22" s="119"/>
      <c r="MS22" s="120"/>
      <c r="MT22" s="120"/>
      <c r="MU22" s="119"/>
      <c r="MV22" s="119"/>
      <c r="MW22" s="120"/>
      <c r="MX22" s="119"/>
      <c r="MY22" s="119"/>
      <c r="MZ22" s="119"/>
      <c r="NA22" s="120"/>
      <c r="NB22" s="119"/>
      <c r="NC22" s="119"/>
      <c r="ND22" s="120"/>
      <c r="NE22" s="119"/>
      <c r="NF22" s="119"/>
      <c r="NG22" s="120"/>
      <c r="NH22" s="120"/>
      <c r="NI22" s="119"/>
      <c r="NJ22" s="119"/>
      <c r="NK22" s="120"/>
      <c r="NL22" s="119"/>
      <c r="NM22" s="119"/>
      <c r="NN22" s="119"/>
      <c r="NO22" s="120"/>
      <c r="NP22" s="119"/>
      <c r="NQ22" s="119"/>
      <c r="NR22" s="120"/>
      <c r="NS22" s="119"/>
      <c r="NT22" s="119"/>
      <c r="NU22" s="120"/>
      <c r="NV22" s="120"/>
      <c r="NW22" s="119"/>
      <c r="NX22" s="119"/>
      <c r="NY22" s="120"/>
      <c r="NZ22" s="119"/>
      <c r="OA22" s="119"/>
      <c r="OB22" s="119"/>
      <c r="OC22" s="120"/>
      <c r="OD22" s="119"/>
      <c r="OE22" s="119"/>
      <c r="OF22" s="120"/>
      <c r="OG22" s="119"/>
      <c r="OH22" s="119"/>
      <c r="OI22" s="120"/>
      <c r="OJ22" s="120"/>
      <c r="OK22" s="119"/>
      <c r="OL22" s="119"/>
      <c r="OM22" s="120"/>
      <c r="ON22" s="119"/>
      <c r="OO22" s="119"/>
      <c r="OP22" s="119"/>
      <c r="OQ22" s="120"/>
      <c r="OR22" s="119"/>
      <c r="OS22" s="119"/>
      <c r="OT22" s="120"/>
      <c r="OU22" s="119"/>
      <c r="OV22" s="119"/>
      <c r="OW22" s="120"/>
      <c r="OX22" s="120"/>
      <c r="OY22" s="119"/>
      <c r="OZ22" s="119"/>
      <c r="PA22" s="120"/>
      <c r="PC22" s="120"/>
      <c r="PD22" s="120"/>
      <c r="PE22" s="272"/>
      <c r="PF22" s="120"/>
      <c r="PG22" s="121"/>
      <c r="PH22" s="121"/>
      <c r="PI22" s="121"/>
      <c r="PJ22" s="121"/>
      <c r="PK22" s="121"/>
      <c r="PL22" s="121"/>
      <c r="PM22" s="121"/>
      <c r="PN22" s="121"/>
      <c r="PO22" s="121"/>
      <c r="PP22" s="121"/>
      <c r="PQ22" s="121"/>
      <c r="PR22" s="121"/>
      <c r="PS22" s="121"/>
      <c r="PT22" s="121"/>
      <c r="PU22" s="121"/>
    </row>
    <row r="23" spans="1:437" ht="40.700000000000003" customHeight="1" x14ac:dyDescent="0.2">
      <c r="A23" s="117"/>
      <c r="B23" s="118"/>
      <c r="C23" s="118"/>
      <c r="D23" s="118"/>
      <c r="E23" s="118"/>
      <c r="F23" s="118"/>
      <c r="G23" s="118"/>
      <c r="H23" s="118"/>
      <c r="I23" s="118"/>
      <c r="J23" s="118"/>
      <c r="K23" s="118"/>
      <c r="L23" s="118"/>
      <c r="M23" s="257"/>
      <c r="N23" s="257"/>
      <c r="O23" s="257"/>
      <c r="P23" s="118"/>
      <c r="Q23" s="253" t="str">
        <f xml:space="preserve"> vbaIsZero(CalcTAR(F23, U23, J23, K23, M23,N23))</f>
        <v/>
      </c>
      <c r="R23" s="254" t="str">
        <f xml:space="preserve"> vbaIsZero(CalcTUR(F23, U23, J23, K23, P23))</f>
        <v/>
      </c>
      <c r="S23" s="117"/>
      <c r="T23" s="122"/>
      <c r="U23" s="119"/>
      <c r="V23" s="119"/>
      <c r="W23" s="123"/>
      <c r="X23" s="57" t="str">
        <f xml:space="preserve"> vbaIsError(PFAmgr(F23, U23, J23, K23,O23, $AC$1, R23, $AC$2 ))</f>
        <v/>
      </c>
      <c r="Y23" s="57" t="str">
        <f xml:space="preserve"> vbaIsError(PFRmgr(F23, U23, J23, K23,O23, $AC$1, R23, $AC$2 ))</f>
        <v/>
      </c>
      <c r="Z23" s="57" t="str">
        <f xml:space="preserve"> vbaIsError(GBMultmgr($AA$1, F23, U23, J23, K23,AA23,AB23))</f>
        <v/>
      </c>
      <c r="AA23" s="72" t="str">
        <f xml:space="preserve"> vbaIsError(ResDwn(GBLowMgr($AA$1, F23, U23, J23, K23,O23, $AA$2 ), FC23))</f>
        <v/>
      </c>
      <c r="AB23" s="72" t="str">
        <f xml:space="preserve"> vbaIsError(ResUp(GBUpMgr($AA$1, F23, U23, J23, K23,O23, $AA$2 ), FC23))</f>
        <v/>
      </c>
      <c r="AC23" s="57" t="str">
        <f xml:space="preserve"> vbaIsError(PFAWGBmgr(F23, U23, J23, K23,O23,$AA$2,AA23,AB23))</f>
        <v/>
      </c>
      <c r="AD23" s="57" t="str">
        <f xml:space="preserve"> vbaIsError(PFRWGBmgr(F23, U23, J23, K23,O23,$AA$2,AA23,AB23))</f>
        <v/>
      </c>
      <c r="AE23" s="254" t="str">
        <f xml:space="preserve"> vbaIsError(CalIntwGBMgr(F23,U23,J23,K23,O23,$AA$2,$AC$1,AA23,AB23,R23,$AC$2,$AA$3))</f>
        <v/>
      </c>
      <c r="AF23" s="260" t="str">
        <f xml:space="preserve"> vbaIsError(CalIntMgr(F23,U23,J23,K23,O23,$AA$2,$AC$1,R23,$AC$2,$AA$3,$AA$1))</f>
        <v/>
      </c>
      <c r="AG23" s="57" t="str">
        <f xml:space="preserve"> vbaIsError(CalRelMgr(F23,U23,J23,K23,O23,$AA$2,$AC$1,R23,$AC$2,$AA$3,$AA$1))</f>
        <v/>
      </c>
      <c r="AH23" s="256"/>
      <c r="AI23" s="3"/>
      <c r="AJ23" s="4"/>
      <c r="AK23" s="5"/>
      <c r="AL23" s="4"/>
      <c r="AM23" s="4"/>
      <c r="AN23" s="3"/>
      <c r="AO23" s="5"/>
      <c r="AP23" s="3"/>
      <c r="AQ23" s="4"/>
      <c r="AR23" s="5"/>
      <c r="AS23" s="4"/>
      <c r="AT23" s="4"/>
      <c r="AU23" s="3"/>
      <c r="AV23" s="5"/>
      <c r="AW23" s="3"/>
      <c r="AX23" s="4"/>
      <c r="AY23" s="5"/>
      <c r="AZ23" s="4"/>
      <c r="BA23" s="4"/>
      <c r="BB23" s="3"/>
      <c r="BC23" s="5"/>
      <c r="BD23" s="3"/>
      <c r="BE23" s="4"/>
      <c r="BF23" s="5"/>
      <c r="BG23" s="4"/>
      <c r="BH23" s="4"/>
      <c r="BI23" s="3"/>
      <c r="BJ23" s="5"/>
      <c r="BK23" s="3"/>
      <c r="BL23" s="4"/>
      <c r="BM23" s="5"/>
      <c r="BN23" s="4"/>
      <c r="BO23" s="4"/>
      <c r="BP23" s="3"/>
      <c r="BQ23" s="5"/>
      <c r="BR23" s="3"/>
      <c r="BS23" s="4"/>
      <c r="BT23" s="5"/>
      <c r="BU23" s="4"/>
      <c r="BV23" s="4"/>
      <c r="BW23" s="3"/>
      <c r="BX23" s="5"/>
      <c r="BY23" s="3"/>
      <c r="BZ23" s="4"/>
      <c r="CA23" s="5"/>
      <c r="CB23" s="4"/>
      <c r="CC23" s="4"/>
      <c r="CD23" s="3"/>
      <c r="CE23" s="5"/>
      <c r="CF23" s="3"/>
      <c r="CG23" s="4"/>
      <c r="CH23" s="5"/>
      <c r="CI23" s="4"/>
      <c r="CJ23" s="4"/>
      <c r="CK23" s="3"/>
      <c r="CL23" s="5"/>
      <c r="CM23" s="3"/>
      <c r="CN23" s="4"/>
      <c r="CO23" s="5"/>
      <c r="CP23" s="4"/>
      <c r="CQ23" s="4"/>
      <c r="CR23" s="3"/>
      <c r="CS23" s="5"/>
      <c r="CT23" s="3"/>
      <c r="CU23" s="4"/>
      <c r="CV23" s="5"/>
      <c r="CW23" s="4"/>
      <c r="CX23" s="4"/>
      <c r="CY23" s="3"/>
      <c r="CZ23" s="5"/>
      <c r="DA23" s="3"/>
      <c r="DB23" s="4"/>
      <c r="DC23" s="5"/>
      <c r="DD23" s="4"/>
      <c r="DE23" s="4"/>
      <c r="DF23" s="3"/>
      <c r="DG23" s="5"/>
      <c r="DH23" s="3"/>
      <c r="DI23" s="4"/>
      <c r="DJ23" s="5"/>
      <c r="DK23" s="4"/>
      <c r="DL23" s="4"/>
      <c r="DM23" s="3"/>
      <c r="DN23" s="5"/>
      <c r="DO23" s="3"/>
      <c r="DP23" s="4"/>
      <c r="DQ23" s="5"/>
      <c r="DR23" s="4"/>
      <c r="DS23" s="4"/>
      <c r="DT23" s="3"/>
      <c r="DU23" s="5"/>
      <c r="DV23" s="3"/>
      <c r="DW23" s="4"/>
      <c r="DX23" s="5"/>
      <c r="DY23" s="4"/>
      <c r="DZ23" s="4"/>
      <c r="EA23" s="3"/>
      <c r="EB23" s="5"/>
      <c r="EC23" s="3"/>
      <c r="ED23" s="4"/>
      <c r="EE23" s="5"/>
      <c r="EF23" s="4"/>
      <c r="EG23" s="4"/>
      <c r="EH23" s="3"/>
      <c r="EI23" s="5"/>
      <c r="EJ23" s="3"/>
      <c r="EK23" s="3"/>
      <c r="EL23" s="116"/>
      <c r="EM23" s="25"/>
      <c r="EO23" s="119"/>
      <c r="EP23" s="119"/>
      <c r="EQ23" s="119"/>
      <c r="ER23" s="120"/>
      <c r="ES23" s="119"/>
      <c r="ET23" s="119"/>
      <c r="EU23" s="120"/>
      <c r="EV23" s="119"/>
      <c r="EW23" s="119"/>
      <c r="EX23" s="120"/>
      <c r="EY23" s="120"/>
      <c r="EZ23" s="119"/>
      <c r="FA23" s="119"/>
      <c r="FB23" s="120"/>
      <c r="FC23" s="119"/>
      <c r="FD23" s="119"/>
      <c r="FE23" s="119"/>
      <c r="FF23" s="119"/>
      <c r="FG23" s="120"/>
      <c r="FH23" s="119"/>
      <c r="FI23" s="119"/>
      <c r="FJ23" s="120"/>
      <c r="FK23" s="119"/>
      <c r="FL23" s="119"/>
      <c r="FM23" s="120"/>
      <c r="FN23" s="120"/>
      <c r="FO23" s="119"/>
      <c r="FP23" s="119"/>
      <c r="FQ23" s="120"/>
      <c r="FR23" s="119"/>
      <c r="FS23" s="121"/>
      <c r="FT23" s="121"/>
      <c r="FU23" s="121"/>
      <c r="FV23" s="121"/>
      <c r="FW23" s="121"/>
      <c r="FX23" s="121"/>
      <c r="FY23" s="121"/>
      <c r="FZ23" s="121"/>
      <c r="GA23" s="121"/>
      <c r="GB23" s="121"/>
      <c r="GC23" s="121"/>
      <c r="GD23" s="121"/>
      <c r="GE23" s="121"/>
      <c r="GF23" s="121"/>
      <c r="GG23" s="121"/>
      <c r="GI23" s="121"/>
      <c r="GJ23" s="121"/>
      <c r="GK23" s="121"/>
      <c r="GL23" s="121"/>
      <c r="GM23" s="121"/>
      <c r="GN23" s="121"/>
      <c r="GO23" s="121"/>
      <c r="GP23" s="121"/>
      <c r="GQ23" s="121"/>
      <c r="GR23" s="121"/>
      <c r="GS23" s="121"/>
      <c r="GT23" s="121"/>
      <c r="GU23" s="121"/>
      <c r="GV23" s="121"/>
      <c r="GW23" s="121"/>
      <c r="GX23" s="121"/>
      <c r="GZ23" s="119"/>
      <c r="HA23" s="119"/>
      <c r="HB23" s="119"/>
      <c r="HC23" s="120"/>
      <c r="HD23" s="119"/>
      <c r="HE23" s="119"/>
      <c r="HF23" s="120"/>
      <c r="HG23" s="119"/>
      <c r="HH23" s="119"/>
      <c r="HI23" s="120"/>
      <c r="HJ23" s="120"/>
      <c r="HK23" s="119"/>
      <c r="HL23" s="119"/>
      <c r="HM23" s="120"/>
      <c r="HN23" s="119"/>
      <c r="HO23" s="119"/>
      <c r="HP23" s="119"/>
      <c r="HQ23" s="120"/>
      <c r="HR23" s="119"/>
      <c r="HS23" s="119"/>
      <c r="HT23" s="120"/>
      <c r="HU23" s="119"/>
      <c r="HV23" s="119"/>
      <c r="HW23" s="120"/>
      <c r="HX23" s="120"/>
      <c r="HY23" s="119"/>
      <c r="HZ23" s="119"/>
      <c r="IA23" s="120"/>
      <c r="IB23" s="119"/>
      <c r="IC23" s="119"/>
      <c r="ID23" s="119"/>
      <c r="IE23" s="120"/>
      <c r="IF23" s="119"/>
      <c r="IG23" s="119"/>
      <c r="IH23" s="120"/>
      <c r="II23" s="119"/>
      <c r="IJ23" s="119"/>
      <c r="IK23" s="120"/>
      <c r="IL23" s="120"/>
      <c r="IM23" s="119"/>
      <c r="IN23" s="119"/>
      <c r="IO23" s="120"/>
      <c r="IP23" s="119"/>
      <c r="IQ23" s="119"/>
      <c r="IR23" s="119"/>
      <c r="IS23" s="120"/>
      <c r="IT23" s="119"/>
      <c r="IU23" s="119"/>
      <c r="IV23" s="120"/>
      <c r="IW23" s="119"/>
      <c r="IX23" s="119"/>
      <c r="IY23" s="120"/>
      <c r="IZ23" s="120"/>
      <c r="JA23" s="119"/>
      <c r="JB23" s="119"/>
      <c r="JC23" s="120"/>
      <c r="JD23" s="119"/>
      <c r="JE23" s="119"/>
      <c r="JF23" s="119"/>
      <c r="JG23" s="120"/>
      <c r="JH23" s="119"/>
      <c r="JI23" s="119"/>
      <c r="JJ23" s="120"/>
      <c r="JK23" s="119"/>
      <c r="JL23" s="119"/>
      <c r="JM23" s="120"/>
      <c r="JN23" s="120"/>
      <c r="JO23" s="119"/>
      <c r="JP23" s="119"/>
      <c r="JQ23" s="120"/>
      <c r="JR23" s="119"/>
      <c r="JS23" s="119"/>
      <c r="JT23" s="119"/>
      <c r="JU23" s="120"/>
      <c r="JV23" s="119"/>
      <c r="JW23" s="119"/>
      <c r="JX23" s="120"/>
      <c r="JY23" s="119"/>
      <c r="JZ23" s="119"/>
      <c r="KA23" s="120"/>
      <c r="KB23" s="120"/>
      <c r="KC23" s="119"/>
      <c r="KD23" s="119"/>
      <c r="KE23" s="120"/>
      <c r="KF23" s="119"/>
      <c r="KG23" s="119"/>
      <c r="KH23" s="119"/>
      <c r="KI23" s="120"/>
      <c r="KJ23" s="119"/>
      <c r="KK23" s="119"/>
      <c r="KL23" s="120"/>
      <c r="KM23" s="119"/>
      <c r="KN23" s="119"/>
      <c r="KO23" s="120"/>
      <c r="KP23" s="120"/>
      <c r="KQ23" s="119"/>
      <c r="KR23" s="119"/>
      <c r="KS23" s="120"/>
      <c r="KT23" s="119"/>
      <c r="KU23" s="119"/>
      <c r="KV23" s="119"/>
      <c r="KW23" s="120"/>
      <c r="KX23" s="119"/>
      <c r="KY23" s="119"/>
      <c r="KZ23" s="120"/>
      <c r="LA23" s="119"/>
      <c r="LB23" s="119"/>
      <c r="LC23" s="120"/>
      <c r="LD23" s="120"/>
      <c r="LE23" s="119"/>
      <c r="LF23" s="119"/>
      <c r="LG23" s="120"/>
      <c r="LH23" s="119"/>
      <c r="LI23" s="119"/>
      <c r="LJ23" s="119"/>
      <c r="LK23" s="120"/>
      <c r="LL23" s="119"/>
      <c r="LM23" s="119"/>
      <c r="LN23" s="120"/>
      <c r="LO23" s="119"/>
      <c r="LP23" s="119"/>
      <c r="LQ23" s="120"/>
      <c r="LR23" s="120"/>
      <c r="LS23" s="119"/>
      <c r="LT23" s="119"/>
      <c r="LU23" s="120"/>
      <c r="LV23" s="119"/>
      <c r="LW23" s="119"/>
      <c r="LX23" s="119"/>
      <c r="LY23" s="120"/>
      <c r="LZ23" s="119"/>
      <c r="MA23" s="119"/>
      <c r="MB23" s="120"/>
      <c r="MC23" s="119"/>
      <c r="MD23" s="119"/>
      <c r="ME23" s="120"/>
      <c r="MF23" s="120"/>
      <c r="MG23" s="119"/>
      <c r="MH23" s="119"/>
      <c r="MI23" s="120"/>
      <c r="MJ23" s="119"/>
      <c r="MK23" s="119"/>
      <c r="ML23" s="119"/>
      <c r="MM23" s="120"/>
      <c r="MN23" s="119"/>
      <c r="MO23" s="119"/>
      <c r="MP23" s="120"/>
      <c r="MQ23" s="119"/>
      <c r="MR23" s="119"/>
      <c r="MS23" s="120"/>
      <c r="MT23" s="120"/>
      <c r="MU23" s="119"/>
      <c r="MV23" s="119"/>
      <c r="MW23" s="120"/>
      <c r="MX23" s="119"/>
      <c r="MY23" s="119"/>
      <c r="MZ23" s="119"/>
      <c r="NA23" s="120"/>
      <c r="NB23" s="119"/>
      <c r="NC23" s="119"/>
      <c r="ND23" s="120"/>
      <c r="NE23" s="119"/>
      <c r="NF23" s="119"/>
      <c r="NG23" s="120"/>
      <c r="NH23" s="120"/>
      <c r="NI23" s="119"/>
      <c r="NJ23" s="119"/>
      <c r="NK23" s="120"/>
      <c r="NL23" s="119"/>
      <c r="NM23" s="119"/>
      <c r="NN23" s="119"/>
      <c r="NO23" s="120"/>
      <c r="NP23" s="119"/>
      <c r="NQ23" s="119"/>
      <c r="NR23" s="120"/>
      <c r="NS23" s="119"/>
      <c r="NT23" s="119"/>
      <c r="NU23" s="120"/>
      <c r="NV23" s="120"/>
      <c r="NW23" s="119"/>
      <c r="NX23" s="119"/>
      <c r="NY23" s="120"/>
      <c r="NZ23" s="119"/>
      <c r="OA23" s="119"/>
      <c r="OB23" s="119"/>
      <c r="OC23" s="120"/>
      <c r="OD23" s="119"/>
      <c r="OE23" s="119"/>
      <c r="OF23" s="120"/>
      <c r="OG23" s="119"/>
      <c r="OH23" s="119"/>
      <c r="OI23" s="120"/>
      <c r="OJ23" s="120"/>
      <c r="OK23" s="119"/>
      <c r="OL23" s="119"/>
      <c r="OM23" s="120"/>
      <c r="ON23" s="119"/>
      <c r="OO23" s="119"/>
      <c r="OP23" s="119"/>
      <c r="OQ23" s="120"/>
      <c r="OR23" s="119"/>
      <c r="OS23" s="119"/>
      <c r="OT23" s="120"/>
      <c r="OU23" s="119"/>
      <c r="OV23" s="119"/>
      <c r="OW23" s="120"/>
      <c r="OX23" s="120"/>
      <c r="OY23" s="119"/>
      <c r="OZ23" s="119"/>
      <c r="PA23" s="120"/>
      <c r="PC23" s="120"/>
      <c r="PD23" s="120"/>
      <c r="PE23" s="272"/>
      <c r="PF23" s="120"/>
      <c r="PG23" s="121"/>
      <c r="PH23" s="121"/>
      <c r="PI23" s="121"/>
      <c r="PJ23" s="121"/>
      <c r="PK23" s="121"/>
      <c r="PL23" s="121"/>
      <c r="PM23" s="121"/>
      <c r="PN23" s="121"/>
      <c r="PO23" s="121"/>
      <c r="PP23" s="121"/>
      <c r="PQ23" s="121"/>
      <c r="PR23" s="121"/>
      <c r="PS23" s="121"/>
      <c r="PT23" s="121"/>
      <c r="PU23" s="121"/>
    </row>
    <row r="24" spans="1:437" ht="40.700000000000003" customHeight="1" x14ac:dyDescent="0.2">
      <c r="A24" s="117"/>
      <c r="B24" s="118"/>
      <c r="C24" s="118"/>
      <c r="D24" s="118"/>
      <c r="E24" s="118"/>
      <c r="F24" s="118"/>
      <c r="G24" s="118"/>
      <c r="H24" s="118"/>
      <c r="I24" s="118"/>
      <c r="J24" s="118"/>
      <c r="K24" s="118"/>
      <c r="L24" s="118"/>
      <c r="M24" s="257"/>
      <c r="N24" s="257"/>
      <c r="O24" s="257"/>
      <c r="P24" s="118"/>
      <c r="Q24" s="253" t="str">
        <f xml:space="preserve"> vbaIsZero(CalcTAR(F24, U24, J24, K24, M24,N24))</f>
        <v/>
      </c>
      <c r="R24" s="254" t="str">
        <f xml:space="preserve"> vbaIsZero(CalcTUR(F24, U24, J24, K24, P24))</f>
        <v/>
      </c>
      <c r="S24" s="117"/>
      <c r="T24" s="122"/>
      <c r="U24" s="119"/>
      <c r="V24" s="119"/>
      <c r="W24" s="123"/>
      <c r="X24" s="57" t="str">
        <f xml:space="preserve"> vbaIsError(PFAmgr(F24, U24, J24, K24,O24, $AC$1, R24, $AC$2 ))</f>
        <v/>
      </c>
      <c r="Y24" s="57" t="str">
        <f xml:space="preserve"> vbaIsError(PFRmgr(F24, U24, J24, K24,O24, $AC$1, R24, $AC$2 ))</f>
        <v/>
      </c>
      <c r="Z24" s="57" t="str">
        <f xml:space="preserve"> vbaIsError(GBMultmgr($AA$1, F24, U24, J24, K24,AA24,AB24))</f>
        <v/>
      </c>
      <c r="AA24" s="72" t="str">
        <f xml:space="preserve"> vbaIsError(ResDwn(GBLowMgr($AA$1, F24, U24, J24, K24,O24, $AA$2 ), FC24))</f>
        <v/>
      </c>
      <c r="AB24" s="72" t="str">
        <f xml:space="preserve"> vbaIsError(ResUp(GBUpMgr($AA$1, F24, U24, J24, K24,O24, $AA$2 ), FC24))</f>
        <v/>
      </c>
      <c r="AC24" s="57" t="str">
        <f xml:space="preserve"> vbaIsError(PFAWGBmgr(F24, U24, J24, K24,O24,$AA$2,AA24,AB24))</f>
        <v/>
      </c>
      <c r="AD24" s="57" t="str">
        <f xml:space="preserve"> vbaIsError(PFRWGBmgr(F24, U24, J24, K24,O24,$AA$2,AA24,AB24))</f>
        <v/>
      </c>
      <c r="AE24" s="254" t="str">
        <f xml:space="preserve"> vbaIsError(CalIntwGBMgr(F24,U24,J24,K24,O24,$AA$2,$AC$1,AA24,AB24,R24,$AC$2,$AA$3))</f>
        <v/>
      </c>
      <c r="AF24" s="260" t="str">
        <f xml:space="preserve"> vbaIsError(CalIntMgr(F24,U24,J24,K24,O24,$AA$2,$AC$1,R24,$AC$2,$AA$3,$AA$1))</f>
        <v/>
      </c>
      <c r="AG24" s="57" t="str">
        <f xml:space="preserve"> vbaIsError(CalRelMgr(F24,U24,J24,K24,O24,$AA$2,$AC$1,R24,$AC$2,$AA$3,$AA$1))</f>
        <v/>
      </c>
      <c r="AH24" s="256"/>
      <c r="AI24" s="3"/>
      <c r="AJ24" s="4"/>
      <c r="AK24" s="5"/>
      <c r="AL24" s="4"/>
      <c r="AM24" s="4"/>
      <c r="AN24" s="3"/>
      <c r="AO24" s="5"/>
      <c r="AP24" s="3"/>
      <c r="AQ24" s="4"/>
      <c r="AR24" s="5"/>
      <c r="AS24" s="4"/>
      <c r="AT24" s="4"/>
      <c r="AU24" s="3"/>
      <c r="AV24" s="5"/>
      <c r="AW24" s="3"/>
      <c r="AX24" s="4"/>
      <c r="AY24" s="5"/>
      <c r="AZ24" s="4"/>
      <c r="BA24" s="4"/>
      <c r="BB24" s="3"/>
      <c r="BC24" s="5"/>
      <c r="BD24" s="3"/>
      <c r="BE24" s="4"/>
      <c r="BF24" s="5"/>
      <c r="BG24" s="4"/>
      <c r="BH24" s="4"/>
      <c r="BI24" s="3"/>
      <c r="BJ24" s="5"/>
      <c r="BK24" s="3"/>
      <c r="BL24" s="4"/>
      <c r="BM24" s="5"/>
      <c r="BN24" s="4"/>
      <c r="BO24" s="4"/>
      <c r="BP24" s="3"/>
      <c r="BQ24" s="5"/>
      <c r="BR24" s="3"/>
      <c r="BS24" s="4"/>
      <c r="BT24" s="5"/>
      <c r="BU24" s="4"/>
      <c r="BV24" s="4"/>
      <c r="BW24" s="3"/>
      <c r="BX24" s="5"/>
      <c r="BY24" s="3"/>
      <c r="BZ24" s="4"/>
      <c r="CA24" s="5"/>
      <c r="CB24" s="4"/>
      <c r="CC24" s="4"/>
      <c r="CD24" s="3"/>
      <c r="CE24" s="5"/>
      <c r="CF24" s="3"/>
      <c r="CG24" s="4"/>
      <c r="CH24" s="5"/>
      <c r="CI24" s="4"/>
      <c r="CJ24" s="4"/>
      <c r="CK24" s="3"/>
      <c r="CL24" s="5"/>
      <c r="CM24" s="3"/>
      <c r="CN24" s="4"/>
      <c r="CO24" s="5"/>
      <c r="CP24" s="4"/>
      <c r="CQ24" s="4"/>
      <c r="CR24" s="3"/>
      <c r="CS24" s="5"/>
      <c r="CT24" s="3"/>
      <c r="CU24" s="4"/>
      <c r="CV24" s="5"/>
      <c r="CW24" s="4"/>
      <c r="CX24" s="4"/>
      <c r="CY24" s="3"/>
      <c r="CZ24" s="5"/>
      <c r="DA24" s="3"/>
      <c r="DB24" s="4"/>
      <c r="DC24" s="5"/>
      <c r="DD24" s="4"/>
      <c r="DE24" s="4"/>
      <c r="DF24" s="3"/>
      <c r="DG24" s="5"/>
      <c r="DH24" s="3"/>
      <c r="DI24" s="4"/>
      <c r="DJ24" s="5"/>
      <c r="DK24" s="4"/>
      <c r="DL24" s="4"/>
      <c r="DM24" s="3"/>
      <c r="DN24" s="5"/>
      <c r="DO24" s="3"/>
      <c r="DP24" s="4"/>
      <c r="DQ24" s="5"/>
      <c r="DR24" s="4"/>
      <c r="DS24" s="4"/>
      <c r="DT24" s="3"/>
      <c r="DU24" s="5"/>
      <c r="DV24" s="3"/>
      <c r="DW24" s="4"/>
      <c r="DX24" s="5"/>
      <c r="DY24" s="4"/>
      <c r="DZ24" s="4"/>
      <c r="EA24" s="3"/>
      <c r="EB24" s="5"/>
      <c r="EC24" s="3"/>
      <c r="ED24" s="4"/>
      <c r="EE24" s="5"/>
      <c r="EF24" s="4"/>
      <c r="EG24" s="4"/>
      <c r="EH24" s="3"/>
      <c r="EI24" s="5"/>
      <c r="EJ24" s="3"/>
      <c r="EK24" s="3"/>
      <c r="EL24" s="116"/>
      <c r="EM24" s="25"/>
      <c r="EO24" s="119"/>
      <c r="EP24" s="119"/>
      <c r="EQ24" s="119"/>
      <c r="ER24" s="120"/>
      <c r="ES24" s="119"/>
      <c r="ET24" s="119"/>
      <c r="EU24" s="120"/>
      <c r="EV24" s="119"/>
      <c r="EW24" s="119"/>
      <c r="EX24" s="120"/>
      <c r="EY24" s="120"/>
      <c r="EZ24" s="119"/>
      <c r="FA24" s="119"/>
      <c r="FB24" s="120"/>
      <c r="FC24" s="119"/>
      <c r="FD24" s="119"/>
      <c r="FE24" s="119"/>
      <c r="FF24" s="119"/>
      <c r="FG24" s="120"/>
      <c r="FH24" s="119"/>
      <c r="FI24" s="119"/>
      <c r="FJ24" s="120"/>
      <c r="FK24" s="119"/>
      <c r="FL24" s="119"/>
      <c r="FM24" s="120"/>
      <c r="FN24" s="120"/>
      <c r="FO24" s="119"/>
      <c r="FP24" s="119"/>
      <c r="FQ24" s="120"/>
      <c r="FR24" s="119"/>
      <c r="FS24" s="121"/>
      <c r="FT24" s="121"/>
      <c r="FU24" s="121"/>
      <c r="FV24" s="121"/>
      <c r="FW24" s="121"/>
      <c r="FX24" s="121"/>
      <c r="FY24" s="121"/>
      <c r="FZ24" s="121"/>
      <c r="GA24" s="121"/>
      <c r="GB24" s="121"/>
      <c r="GC24" s="121"/>
      <c r="GD24" s="121"/>
      <c r="GE24" s="121"/>
      <c r="GF24" s="121"/>
      <c r="GG24" s="121"/>
      <c r="GI24" s="121"/>
      <c r="GJ24" s="121"/>
      <c r="GK24" s="121"/>
      <c r="GL24" s="121"/>
      <c r="GM24" s="121"/>
      <c r="GN24" s="121"/>
      <c r="GO24" s="121"/>
      <c r="GP24" s="121"/>
      <c r="GQ24" s="121"/>
      <c r="GR24" s="121"/>
      <c r="GS24" s="121"/>
      <c r="GT24" s="121"/>
      <c r="GU24" s="121"/>
      <c r="GV24" s="121"/>
      <c r="GW24" s="121"/>
      <c r="GX24" s="121"/>
      <c r="GZ24" s="119"/>
      <c r="HA24" s="119"/>
      <c r="HB24" s="119"/>
      <c r="HC24" s="120"/>
      <c r="HD24" s="119"/>
      <c r="HE24" s="119"/>
      <c r="HF24" s="120"/>
      <c r="HG24" s="119"/>
      <c r="HH24" s="119"/>
      <c r="HI24" s="120"/>
      <c r="HJ24" s="120"/>
      <c r="HK24" s="119"/>
      <c r="HL24" s="119"/>
      <c r="HM24" s="120"/>
      <c r="HN24" s="119"/>
      <c r="HO24" s="119"/>
      <c r="HP24" s="119"/>
      <c r="HQ24" s="120"/>
      <c r="HR24" s="119"/>
      <c r="HS24" s="119"/>
      <c r="HT24" s="120"/>
      <c r="HU24" s="119"/>
      <c r="HV24" s="119"/>
      <c r="HW24" s="120"/>
      <c r="HX24" s="120"/>
      <c r="HY24" s="119"/>
      <c r="HZ24" s="119"/>
      <c r="IA24" s="120"/>
      <c r="IB24" s="119"/>
      <c r="IC24" s="119"/>
      <c r="ID24" s="119"/>
      <c r="IE24" s="120"/>
      <c r="IF24" s="119"/>
      <c r="IG24" s="119"/>
      <c r="IH24" s="120"/>
      <c r="II24" s="119"/>
      <c r="IJ24" s="119"/>
      <c r="IK24" s="120"/>
      <c r="IL24" s="120"/>
      <c r="IM24" s="119"/>
      <c r="IN24" s="119"/>
      <c r="IO24" s="120"/>
      <c r="IP24" s="119"/>
      <c r="IQ24" s="119"/>
      <c r="IR24" s="119"/>
      <c r="IS24" s="120"/>
      <c r="IT24" s="119"/>
      <c r="IU24" s="119"/>
      <c r="IV24" s="120"/>
      <c r="IW24" s="119"/>
      <c r="IX24" s="119"/>
      <c r="IY24" s="120"/>
      <c r="IZ24" s="120"/>
      <c r="JA24" s="119"/>
      <c r="JB24" s="119"/>
      <c r="JC24" s="120"/>
      <c r="JD24" s="119"/>
      <c r="JE24" s="119"/>
      <c r="JF24" s="119"/>
      <c r="JG24" s="120"/>
      <c r="JH24" s="119"/>
      <c r="JI24" s="119"/>
      <c r="JJ24" s="120"/>
      <c r="JK24" s="119"/>
      <c r="JL24" s="119"/>
      <c r="JM24" s="120"/>
      <c r="JN24" s="120"/>
      <c r="JO24" s="119"/>
      <c r="JP24" s="119"/>
      <c r="JQ24" s="120"/>
      <c r="JR24" s="119"/>
      <c r="JS24" s="119"/>
      <c r="JT24" s="119"/>
      <c r="JU24" s="120"/>
      <c r="JV24" s="119"/>
      <c r="JW24" s="119"/>
      <c r="JX24" s="120"/>
      <c r="JY24" s="119"/>
      <c r="JZ24" s="119"/>
      <c r="KA24" s="120"/>
      <c r="KB24" s="120"/>
      <c r="KC24" s="119"/>
      <c r="KD24" s="119"/>
      <c r="KE24" s="120"/>
      <c r="KF24" s="119"/>
      <c r="KG24" s="119"/>
      <c r="KH24" s="119"/>
      <c r="KI24" s="120"/>
      <c r="KJ24" s="119"/>
      <c r="KK24" s="119"/>
      <c r="KL24" s="120"/>
      <c r="KM24" s="119"/>
      <c r="KN24" s="119"/>
      <c r="KO24" s="120"/>
      <c r="KP24" s="120"/>
      <c r="KQ24" s="119"/>
      <c r="KR24" s="119"/>
      <c r="KS24" s="120"/>
      <c r="KT24" s="119"/>
      <c r="KU24" s="119"/>
      <c r="KV24" s="119"/>
      <c r="KW24" s="120"/>
      <c r="KX24" s="119"/>
      <c r="KY24" s="119"/>
      <c r="KZ24" s="120"/>
      <c r="LA24" s="119"/>
      <c r="LB24" s="119"/>
      <c r="LC24" s="120"/>
      <c r="LD24" s="120"/>
      <c r="LE24" s="119"/>
      <c r="LF24" s="119"/>
      <c r="LG24" s="120"/>
      <c r="LH24" s="119"/>
      <c r="LI24" s="119"/>
      <c r="LJ24" s="119"/>
      <c r="LK24" s="120"/>
      <c r="LL24" s="119"/>
      <c r="LM24" s="119"/>
      <c r="LN24" s="120"/>
      <c r="LO24" s="119"/>
      <c r="LP24" s="119"/>
      <c r="LQ24" s="120"/>
      <c r="LR24" s="120"/>
      <c r="LS24" s="119"/>
      <c r="LT24" s="119"/>
      <c r="LU24" s="120"/>
      <c r="LV24" s="119"/>
      <c r="LW24" s="119"/>
      <c r="LX24" s="119"/>
      <c r="LY24" s="120"/>
      <c r="LZ24" s="119"/>
      <c r="MA24" s="119"/>
      <c r="MB24" s="120"/>
      <c r="MC24" s="119"/>
      <c r="MD24" s="119"/>
      <c r="ME24" s="120"/>
      <c r="MF24" s="120"/>
      <c r="MG24" s="119"/>
      <c r="MH24" s="119"/>
      <c r="MI24" s="120"/>
      <c r="MJ24" s="119"/>
      <c r="MK24" s="119"/>
      <c r="ML24" s="119"/>
      <c r="MM24" s="120"/>
      <c r="MN24" s="119"/>
      <c r="MO24" s="119"/>
      <c r="MP24" s="120"/>
      <c r="MQ24" s="119"/>
      <c r="MR24" s="119"/>
      <c r="MS24" s="120"/>
      <c r="MT24" s="120"/>
      <c r="MU24" s="119"/>
      <c r="MV24" s="119"/>
      <c r="MW24" s="120"/>
      <c r="MX24" s="119"/>
      <c r="MY24" s="119"/>
      <c r="MZ24" s="119"/>
      <c r="NA24" s="120"/>
      <c r="NB24" s="119"/>
      <c r="NC24" s="119"/>
      <c r="ND24" s="120"/>
      <c r="NE24" s="119"/>
      <c r="NF24" s="119"/>
      <c r="NG24" s="120"/>
      <c r="NH24" s="120"/>
      <c r="NI24" s="119"/>
      <c r="NJ24" s="119"/>
      <c r="NK24" s="120"/>
      <c r="NL24" s="119"/>
      <c r="NM24" s="119"/>
      <c r="NN24" s="119"/>
      <c r="NO24" s="120"/>
      <c r="NP24" s="119"/>
      <c r="NQ24" s="119"/>
      <c r="NR24" s="120"/>
      <c r="NS24" s="119"/>
      <c r="NT24" s="119"/>
      <c r="NU24" s="120"/>
      <c r="NV24" s="120"/>
      <c r="NW24" s="119"/>
      <c r="NX24" s="119"/>
      <c r="NY24" s="120"/>
      <c r="NZ24" s="119"/>
      <c r="OA24" s="119"/>
      <c r="OB24" s="119"/>
      <c r="OC24" s="120"/>
      <c r="OD24" s="119"/>
      <c r="OE24" s="119"/>
      <c r="OF24" s="120"/>
      <c r="OG24" s="119"/>
      <c r="OH24" s="119"/>
      <c r="OI24" s="120"/>
      <c r="OJ24" s="120"/>
      <c r="OK24" s="119"/>
      <c r="OL24" s="119"/>
      <c r="OM24" s="120"/>
      <c r="ON24" s="119"/>
      <c r="OO24" s="119"/>
      <c r="OP24" s="119"/>
      <c r="OQ24" s="120"/>
      <c r="OR24" s="119"/>
      <c r="OS24" s="119"/>
      <c r="OT24" s="120"/>
      <c r="OU24" s="119"/>
      <c r="OV24" s="119"/>
      <c r="OW24" s="120"/>
      <c r="OX24" s="120"/>
      <c r="OY24" s="119"/>
      <c r="OZ24" s="119"/>
      <c r="PA24" s="120"/>
      <c r="PC24" s="120"/>
      <c r="PD24" s="120"/>
      <c r="PE24" s="272"/>
      <c r="PF24" s="120"/>
      <c r="PG24" s="121"/>
      <c r="PH24" s="121"/>
      <c r="PI24" s="121"/>
      <c r="PJ24" s="121"/>
      <c r="PK24" s="121"/>
      <c r="PL24" s="121"/>
      <c r="PM24" s="121"/>
      <c r="PN24" s="121"/>
      <c r="PO24" s="121"/>
      <c r="PP24" s="121"/>
      <c r="PQ24" s="121"/>
      <c r="PR24" s="121"/>
      <c r="PS24" s="121"/>
      <c r="PT24" s="121"/>
      <c r="PU24" s="121"/>
    </row>
    <row r="25" spans="1:437" ht="40.700000000000003" customHeight="1" x14ac:dyDescent="0.2">
      <c r="A25" s="117"/>
      <c r="B25" s="118"/>
      <c r="C25" s="118"/>
      <c r="D25" s="118"/>
      <c r="E25" s="118"/>
      <c r="F25" s="118"/>
      <c r="G25" s="118"/>
      <c r="H25" s="118"/>
      <c r="I25" s="118"/>
      <c r="J25" s="118"/>
      <c r="K25" s="118"/>
      <c r="L25" s="118"/>
      <c r="M25" s="257"/>
      <c r="N25" s="257"/>
      <c r="O25" s="257"/>
      <c r="P25" s="118"/>
      <c r="Q25" s="253" t="str">
        <f xml:space="preserve"> vbaIsZero(CalcTAR(F25, U25, J25, K25, M25,N25))</f>
        <v/>
      </c>
      <c r="R25" s="254" t="str">
        <f xml:space="preserve"> vbaIsZero(CalcTUR(F25, U25, J25, K25, P25))</f>
        <v/>
      </c>
      <c r="S25" s="117"/>
      <c r="T25" s="122"/>
      <c r="U25" s="119"/>
      <c r="V25" s="119"/>
      <c r="W25" s="123"/>
      <c r="X25" s="57" t="str">
        <f xml:space="preserve"> vbaIsError(PFAmgr(F25, U25, J25, K25,O25, $AC$1, R25, $AC$2 ))</f>
        <v/>
      </c>
      <c r="Y25" s="57" t="str">
        <f xml:space="preserve"> vbaIsError(PFRmgr(F25, U25, J25, K25,O25, $AC$1, R25, $AC$2 ))</f>
        <v/>
      </c>
      <c r="Z25" s="57" t="str">
        <f xml:space="preserve"> vbaIsError(GBMultmgr($AA$1, F25, U25, J25, K25,AA25,AB25))</f>
        <v/>
      </c>
      <c r="AA25" s="72" t="str">
        <f xml:space="preserve"> vbaIsError(ResDwn(GBLowMgr($AA$1, F25, U25, J25, K25,O25, $AA$2 ), FC25))</f>
        <v/>
      </c>
      <c r="AB25" s="72" t="str">
        <f xml:space="preserve"> vbaIsError(ResUp(GBUpMgr($AA$1, F25, U25, J25, K25,O25, $AA$2 ), FC25))</f>
        <v/>
      </c>
      <c r="AC25" s="57" t="str">
        <f xml:space="preserve"> vbaIsError(PFAWGBmgr(F25, U25, J25, K25,O25,$AA$2,AA25,AB25))</f>
        <v/>
      </c>
      <c r="AD25" s="57" t="str">
        <f xml:space="preserve"> vbaIsError(PFRWGBmgr(F25, U25, J25, K25,O25,$AA$2,AA25,AB25))</f>
        <v/>
      </c>
      <c r="AE25" s="254" t="str">
        <f xml:space="preserve"> vbaIsError(CalIntwGBMgr(F25,U25,J25,K25,O25,$AA$2,$AC$1,AA25,AB25,R25,$AC$2,$AA$3))</f>
        <v/>
      </c>
      <c r="AF25" s="260" t="str">
        <f xml:space="preserve"> vbaIsError(CalIntMgr(F25,U25,J25,K25,O25,$AA$2,$AC$1,R25,$AC$2,$AA$3,$AA$1))</f>
        <v/>
      </c>
      <c r="AG25" s="57" t="str">
        <f xml:space="preserve"> vbaIsError(CalRelMgr(F25,U25,J25,K25,O25,$AA$2,$AC$1,R25,$AC$2,$AA$3,$AA$1))</f>
        <v/>
      </c>
      <c r="AH25" s="256"/>
      <c r="AI25" s="3"/>
      <c r="AJ25" s="4"/>
      <c r="AK25" s="5"/>
      <c r="AL25" s="4"/>
      <c r="AM25" s="4"/>
      <c r="AN25" s="3"/>
      <c r="AO25" s="5"/>
      <c r="AP25" s="3"/>
      <c r="AQ25" s="4"/>
      <c r="AR25" s="5"/>
      <c r="AS25" s="4"/>
      <c r="AT25" s="4"/>
      <c r="AU25" s="3"/>
      <c r="AV25" s="5"/>
      <c r="AW25" s="3"/>
      <c r="AX25" s="4"/>
      <c r="AY25" s="5"/>
      <c r="AZ25" s="4"/>
      <c r="BA25" s="4"/>
      <c r="BB25" s="3"/>
      <c r="BC25" s="5"/>
      <c r="BD25" s="3"/>
      <c r="BE25" s="4"/>
      <c r="BF25" s="5"/>
      <c r="BG25" s="4"/>
      <c r="BH25" s="4"/>
      <c r="BI25" s="3"/>
      <c r="BJ25" s="5"/>
      <c r="BK25" s="3"/>
      <c r="BL25" s="4"/>
      <c r="BM25" s="5"/>
      <c r="BN25" s="4"/>
      <c r="BO25" s="4"/>
      <c r="BP25" s="3"/>
      <c r="BQ25" s="5"/>
      <c r="BR25" s="3"/>
      <c r="BS25" s="4"/>
      <c r="BT25" s="5"/>
      <c r="BU25" s="4"/>
      <c r="BV25" s="4"/>
      <c r="BW25" s="3"/>
      <c r="BX25" s="5"/>
      <c r="BY25" s="3"/>
      <c r="BZ25" s="4"/>
      <c r="CA25" s="5"/>
      <c r="CB25" s="4"/>
      <c r="CC25" s="4"/>
      <c r="CD25" s="3"/>
      <c r="CE25" s="5"/>
      <c r="CF25" s="3"/>
      <c r="CG25" s="4"/>
      <c r="CH25" s="5"/>
      <c r="CI25" s="4"/>
      <c r="CJ25" s="4"/>
      <c r="CK25" s="3"/>
      <c r="CL25" s="5"/>
      <c r="CM25" s="3"/>
      <c r="CN25" s="4"/>
      <c r="CO25" s="5"/>
      <c r="CP25" s="4"/>
      <c r="CQ25" s="4"/>
      <c r="CR25" s="3"/>
      <c r="CS25" s="5"/>
      <c r="CT25" s="3"/>
      <c r="CU25" s="4"/>
      <c r="CV25" s="5"/>
      <c r="CW25" s="4"/>
      <c r="CX25" s="4"/>
      <c r="CY25" s="3"/>
      <c r="CZ25" s="5"/>
      <c r="DA25" s="3"/>
      <c r="DB25" s="4"/>
      <c r="DC25" s="5"/>
      <c r="DD25" s="4"/>
      <c r="DE25" s="4"/>
      <c r="DF25" s="3"/>
      <c r="DG25" s="5"/>
      <c r="DH25" s="3"/>
      <c r="DI25" s="4"/>
      <c r="DJ25" s="5"/>
      <c r="DK25" s="4"/>
      <c r="DL25" s="4"/>
      <c r="DM25" s="3"/>
      <c r="DN25" s="5"/>
      <c r="DO25" s="3"/>
      <c r="DP25" s="4"/>
      <c r="DQ25" s="5"/>
      <c r="DR25" s="4"/>
      <c r="DS25" s="4"/>
      <c r="DT25" s="3"/>
      <c r="DU25" s="5"/>
      <c r="DV25" s="3"/>
      <c r="DW25" s="4"/>
      <c r="DX25" s="5"/>
      <c r="DY25" s="4"/>
      <c r="DZ25" s="4"/>
      <c r="EA25" s="3"/>
      <c r="EB25" s="5"/>
      <c r="EC25" s="3"/>
      <c r="ED25" s="4"/>
      <c r="EE25" s="5"/>
      <c r="EF25" s="4"/>
      <c r="EG25" s="4"/>
      <c r="EH25" s="3"/>
      <c r="EI25" s="5"/>
      <c r="EJ25" s="3"/>
      <c r="EK25" s="3"/>
      <c r="EL25" s="116"/>
      <c r="EM25" s="25"/>
      <c r="EO25" s="119"/>
      <c r="EP25" s="119"/>
      <c r="EQ25" s="119"/>
      <c r="ER25" s="120"/>
      <c r="ES25" s="119"/>
      <c r="ET25" s="119"/>
      <c r="EU25" s="120"/>
      <c r="EV25" s="119"/>
      <c r="EW25" s="119"/>
      <c r="EX25" s="120"/>
      <c r="EY25" s="120"/>
      <c r="EZ25" s="119"/>
      <c r="FA25" s="119"/>
      <c r="FB25" s="120"/>
      <c r="FC25" s="119"/>
      <c r="FD25" s="119"/>
      <c r="FE25" s="119"/>
      <c r="FF25" s="119"/>
      <c r="FG25" s="120"/>
      <c r="FH25" s="119"/>
      <c r="FI25" s="119"/>
      <c r="FJ25" s="120"/>
      <c r="FK25" s="119"/>
      <c r="FL25" s="119"/>
      <c r="FM25" s="120"/>
      <c r="FN25" s="120"/>
      <c r="FO25" s="119"/>
      <c r="FP25" s="119"/>
      <c r="FQ25" s="120"/>
      <c r="FR25" s="119"/>
      <c r="FS25" s="121"/>
      <c r="FT25" s="121"/>
      <c r="FU25" s="121"/>
      <c r="FV25" s="121"/>
      <c r="FW25" s="121"/>
      <c r="FX25" s="121"/>
      <c r="FY25" s="121"/>
      <c r="FZ25" s="121"/>
      <c r="GA25" s="121"/>
      <c r="GB25" s="121"/>
      <c r="GC25" s="121"/>
      <c r="GD25" s="121"/>
      <c r="GE25" s="121"/>
      <c r="GF25" s="121"/>
      <c r="GG25" s="121"/>
      <c r="GI25" s="121"/>
      <c r="GJ25" s="121"/>
      <c r="GK25" s="121"/>
      <c r="GL25" s="121"/>
      <c r="GM25" s="121"/>
      <c r="GN25" s="121"/>
      <c r="GO25" s="121"/>
      <c r="GP25" s="121"/>
      <c r="GQ25" s="121"/>
      <c r="GR25" s="121"/>
      <c r="GS25" s="121"/>
      <c r="GT25" s="121"/>
      <c r="GU25" s="121"/>
      <c r="GV25" s="121"/>
      <c r="GW25" s="121"/>
      <c r="GX25" s="121"/>
      <c r="GZ25" s="119"/>
      <c r="HA25" s="119"/>
      <c r="HB25" s="119"/>
      <c r="HC25" s="120"/>
      <c r="HD25" s="119"/>
      <c r="HE25" s="119"/>
      <c r="HF25" s="120"/>
      <c r="HG25" s="119"/>
      <c r="HH25" s="119"/>
      <c r="HI25" s="120"/>
      <c r="HJ25" s="120"/>
      <c r="HK25" s="119"/>
      <c r="HL25" s="119"/>
      <c r="HM25" s="120"/>
      <c r="HN25" s="119"/>
      <c r="HO25" s="119"/>
      <c r="HP25" s="119"/>
      <c r="HQ25" s="120"/>
      <c r="HR25" s="119"/>
      <c r="HS25" s="119"/>
      <c r="HT25" s="120"/>
      <c r="HU25" s="119"/>
      <c r="HV25" s="119"/>
      <c r="HW25" s="120"/>
      <c r="HX25" s="120"/>
      <c r="HY25" s="119"/>
      <c r="HZ25" s="119"/>
      <c r="IA25" s="120"/>
      <c r="IB25" s="119"/>
      <c r="IC25" s="119"/>
      <c r="ID25" s="119"/>
      <c r="IE25" s="120"/>
      <c r="IF25" s="119"/>
      <c r="IG25" s="119"/>
      <c r="IH25" s="120"/>
      <c r="II25" s="119"/>
      <c r="IJ25" s="119"/>
      <c r="IK25" s="120"/>
      <c r="IL25" s="120"/>
      <c r="IM25" s="119"/>
      <c r="IN25" s="119"/>
      <c r="IO25" s="120"/>
      <c r="IP25" s="119"/>
      <c r="IQ25" s="119"/>
      <c r="IR25" s="119"/>
      <c r="IS25" s="120"/>
      <c r="IT25" s="119"/>
      <c r="IU25" s="119"/>
      <c r="IV25" s="120"/>
      <c r="IW25" s="119"/>
      <c r="IX25" s="119"/>
      <c r="IY25" s="120"/>
      <c r="IZ25" s="120"/>
      <c r="JA25" s="119"/>
      <c r="JB25" s="119"/>
      <c r="JC25" s="120"/>
      <c r="JD25" s="119"/>
      <c r="JE25" s="119"/>
      <c r="JF25" s="119"/>
      <c r="JG25" s="120"/>
      <c r="JH25" s="119"/>
      <c r="JI25" s="119"/>
      <c r="JJ25" s="120"/>
      <c r="JK25" s="119"/>
      <c r="JL25" s="119"/>
      <c r="JM25" s="120"/>
      <c r="JN25" s="120"/>
      <c r="JO25" s="119"/>
      <c r="JP25" s="119"/>
      <c r="JQ25" s="120"/>
      <c r="JR25" s="119"/>
      <c r="JS25" s="119"/>
      <c r="JT25" s="119"/>
      <c r="JU25" s="120"/>
      <c r="JV25" s="119"/>
      <c r="JW25" s="119"/>
      <c r="JX25" s="120"/>
      <c r="JY25" s="119"/>
      <c r="JZ25" s="119"/>
      <c r="KA25" s="120"/>
      <c r="KB25" s="120"/>
      <c r="KC25" s="119"/>
      <c r="KD25" s="119"/>
      <c r="KE25" s="120"/>
      <c r="KF25" s="119"/>
      <c r="KG25" s="119"/>
      <c r="KH25" s="119"/>
      <c r="KI25" s="120"/>
      <c r="KJ25" s="119"/>
      <c r="KK25" s="119"/>
      <c r="KL25" s="120"/>
      <c r="KM25" s="119"/>
      <c r="KN25" s="119"/>
      <c r="KO25" s="120"/>
      <c r="KP25" s="120"/>
      <c r="KQ25" s="119"/>
      <c r="KR25" s="119"/>
      <c r="KS25" s="120"/>
      <c r="KT25" s="119"/>
      <c r="KU25" s="119"/>
      <c r="KV25" s="119"/>
      <c r="KW25" s="120"/>
      <c r="KX25" s="119"/>
      <c r="KY25" s="119"/>
      <c r="KZ25" s="120"/>
      <c r="LA25" s="119"/>
      <c r="LB25" s="119"/>
      <c r="LC25" s="120"/>
      <c r="LD25" s="120"/>
      <c r="LE25" s="119"/>
      <c r="LF25" s="119"/>
      <c r="LG25" s="120"/>
      <c r="LH25" s="119"/>
      <c r="LI25" s="119"/>
      <c r="LJ25" s="119"/>
      <c r="LK25" s="120"/>
      <c r="LL25" s="119"/>
      <c r="LM25" s="119"/>
      <c r="LN25" s="120"/>
      <c r="LO25" s="119"/>
      <c r="LP25" s="119"/>
      <c r="LQ25" s="120"/>
      <c r="LR25" s="120"/>
      <c r="LS25" s="119"/>
      <c r="LT25" s="119"/>
      <c r="LU25" s="120"/>
      <c r="LV25" s="119"/>
      <c r="LW25" s="119"/>
      <c r="LX25" s="119"/>
      <c r="LY25" s="120"/>
      <c r="LZ25" s="119"/>
      <c r="MA25" s="119"/>
      <c r="MB25" s="120"/>
      <c r="MC25" s="119"/>
      <c r="MD25" s="119"/>
      <c r="ME25" s="120"/>
      <c r="MF25" s="120"/>
      <c r="MG25" s="119"/>
      <c r="MH25" s="119"/>
      <c r="MI25" s="120"/>
      <c r="MJ25" s="119"/>
      <c r="MK25" s="119"/>
      <c r="ML25" s="119"/>
      <c r="MM25" s="120"/>
      <c r="MN25" s="119"/>
      <c r="MO25" s="119"/>
      <c r="MP25" s="120"/>
      <c r="MQ25" s="119"/>
      <c r="MR25" s="119"/>
      <c r="MS25" s="120"/>
      <c r="MT25" s="120"/>
      <c r="MU25" s="119"/>
      <c r="MV25" s="119"/>
      <c r="MW25" s="120"/>
      <c r="MX25" s="119"/>
      <c r="MY25" s="119"/>
      <c r="MZ25" s="119"/>
      <c r="NA25" s="120"/>
      <c r="NB25" s="119"/>
      <c r="NC25" s="119"/>
      <c r="ND25" s="120"/>
      <c r="NE25" s="119"/>
      <c r="NF25" s="119"/>
      <c r="NG25" s="120"/>
      <c r="NH25" s="120"/>
      <c r="NI25" s="119"/>
      <c r="NJ25" s="119"/>
      <c r="NK25" s="120"/>
      <c r="NL25" s="119"/>
      <c r="NM25" s="119"/>
      <c r="NN25" s="119"/>
      <c r="NO25" s="120"/>
      <c r="NP25" s="119"/>
      <c r="NQ25" s="119"/>
      <c r="NR25" s="120"/>
      <c r="NS25" s="119"/>
      <c r="NT25" s="119"/>
      <c r="NU25" s="120"/>
      <c r="NV25" s="120"/>
      <c r="NW25" s="119"/>
      <c r="NX25" s="119"/>
      <c r="NY25" s="120"/>
      <c r="NZ25" s="119"/>
      <c r="OA25" s="119"/>
      <c r="OB25" s="119"/>
      <c r="OC25" s="120"/>
      <c r="OD25" s="119"/>
      <c r="OE25" s="119"/>
      <c r="OF25" s="120"/>
      <c r="OG25" s="119"/>
      <c r="OH25" s="119"/>
      <c r="OI25" s="120"/>
      <c r="OJ25" s="120"/>
      <c r="OK25" s="119"/>
      <c r="OL25" s="119"/>
      <c r="OM25" s="120"/>
      <c r="ON25" s="119"/>
      <c r="OO25" s="119"/>
      <c r="OP25" s="119"/>
      <c r="OQ25" s="120"/>
      <c r="OR25" s="119"/>
      <c r="OS25" s="119"/>
      <c r="OT25" s="120"/>
      <c r="OU25" s="119"/>
      <c r="OV25" s="119"/>
      <c r="OW25" s="120"/>
      <c r="OX25" s="120"/>
      <c r="OY25" s="119"/>
      <c r="OZ25" s="119"/>
      <c r="PA25" s="120"/>
      <c r="PC25" s="120"/>
      <c r="PD25" s="120"/>
      <c r="PE25" s="272"/>
      <c r="PF25" s="120"/>
      <c r="PG25" s="121"/>
      <c r="PH25" s="121"/>
      <c r="PI25" s="121"/>
      <c r="PJ25" s="121"/>
      <c r="PK25" s="121"/>
      <c r="PL25" s="121"/>
      <c r="PM25" s="121"/>
      <c r="PN25" s="121"/>
      <c r="PO25" s="121"/>
      <c r="PP25" s="121"/>
      <c r="PQ25" s="121"/>
      <c r="PR25" s="121"/>
      <c r="PS25" s="121"/>
      <c r="PT25" s="121"/>
      <c r="PU25" s="121"/>
    </row>
    <row r="26" spans="1:437" ht="40.700000000000003" customHeight="1" x14ac:dyDescent="0.2">
      <c r="A26" s="117"/>
      <c r="B26" s="118"/>
      <c r="C26" s="118"/>
      <c r="D26" s="118"/>
      <c r="E26" s="118"/>
      <c r="F26" s="118"/>
      <c r="G26" s="118"/>
      <c r="H26" s="118"/>
      <c r="I26" s="118"/>
      <c r="J26" s="118"/>
      <c r="K26" s="118"/>
      <c r="L26" s="118"/>
      <c r="M26" s="257"/>
      <c r="N26" s="257"/>
      <c r="O26" s="257"/>
      <c r="P26" s="118"/>
      <c r="Q26" s="253" t="str">
        <f xml:space="preserve"> vbaIsZero(CalcTAR(F26, U26, J26, K26, M26,N26))</f>
        <v/>
      </c>
      <c r="R26" s="254" t="str">
        <f xml:space="preserve"> vbaIsZero(CalcTUR(F26, U26, J26, K26, P26))</f>
        <v/>
      </c>
      <c r="S26" s="117"/>
      <c r="T26" s="122"/>
      <c r="U26" s="119"/>
      <c r="V26" s="119"/>
      <c r="W26" s="123"/>
      <c r="X26" s="57" t="str">
        <f xml:space="preserve"> vbaIsError(PFAmgr(F26, U26, J26, K26,O26, $AC$1, R26, $AC$2 ))</f>
        <v/>
      </c>
      <c r="Y26" s="57" t="str">
        <f xml:space="preserve"> vbaIsError(PFRmgr(F26, U26, J26, K26,O26, $AC$1, R26, $AC$2 ))</f>
        <v/>
      </c>
      <c r="Z26" s="57" t="str">
        <f xml:space="preserve"> vbaIsError(GBMultmgr($AA$1, F26, U26, J26, K26,AA26,AB26))</f>
        <v/>
      </c>
      <c r="AA26" s="72" t="str">
        <f xml:space="preserve"> vbaIsError(ResDwn(GBLowMgr($AA$1, F26, U26, J26, K26,O26, $AA$2 ), FC26))</f>
        <v/>
      </c>
      <c r="AB26" s="72" t="str">
        <f xml:space="preserve"> vbaIsError(ResUp(GBUpMgr($AA$1, F26, U26, J26, K26,O26, $AA$2 ), FC26))</f>
        <v/>
      </c>
      <c r="AC26" s="57" t="str">
        <f xml:space="preserve"> vbaIsError(PFAWGBmgr(F26, U26, J26, K26,O26,$AA$2,AA26,AB26))</f>
        <v/>
      </c>
      <c r="AD26" s="57" t="str">
        <f xml:space="preserve"> vbaIsError(PFRWGBmgr(F26, U26, J26, K26,O26,$AA$2,AA26,AB26))</f>
        <v/>
      </c>
      <c r="AE26" s="254" t="str">
        <f xml:space="preserve"> vbaIsError(CalIntwGBMgr(F26,U26,J26,K26,O26,$AA$2,$AC$1,AA26,AB26,R26,$AC$2,$AA$3))</f>
        <v/>
      </c>
      <c r="AF26" s="260" t="str">
        <f xml:space="preserve"> vbaIsError(CalIntMgr(F26,U26,J26,K26,O26,$AA$2,$AC$1,R26,$AC$2,$AA$3,$AA$1))</f>
        <v/>
      </c>
      <c r="AG26" s="57" t="str">
        <f xml:space="preserve"> vbaIsError(CalRelMgr(F26,U26,J26,K26,O26,$AA$2,$AC$1,R26,$AC$2,$AA$3,$AA$1))</f>
        <v/>
      </c>
      <c r="AH26" s="256"/>
      <c r="AI26" s="3"/>
      <c r="AJ26" s="4"/>
      <c r="AK26" s="5"/>
      <c r="AL26" s="4"/>
      <c r="AM26" s="4"/>
      <c r="AN26" s="3"/>
      <c r="AO26" s="5"/>
      <c r="AP26" s="3"/>
      <c r="AQ26" s="4"/>
      <c r="AR26" s="5"/>
      <c r="AS26" s="4"/>
      <c r="AT26" s="4"/>
      <c r="AU26" s="3"/>
      <c r="AV26" s="5"/>
      <c r="AW26" s="3"/>
      <c r="AX26" s="4"/>
      <c r="AY26" s="5"/>
      <c r="AZ26" s="4"/>
      <c r="BA26" s="4"/>
      <c r="BB26" s="3"/>
      <c r="BC26" s="5"/>
      <c r="BD26" s="3"/>
      <c r="BE26" s="4"/>
      <c r="BF26" s="5"/>
      <c r="BG26" s="4"/>
      <c r="BH26" s="4"/>
      <c r="BI26" s="3"/>
      <c r="BJ26" s="5"/>
      <c r="BK26" s="3"/>
      <c r="BL26" s="4"/>
      <c r="BM26" s="5"/>
      <c r="BN26" s="4"/>
      <c r="BO26" s="4"/>
      <c r="BP26" s="3"/>
      <c r="BQ26" s="5"/>
      <c r="BR26" s="3"/>
      <c r="BS26" s="4"/>
      <c r="BT26" s="5"/>
      <c r="BU26" s="4"/>
      <c r="BV26" s="4"/>
      <c r="BW26" s="3"/>
      <c r="BX26" s="5"/>
      <c r="BY26" s="3"/>
      <c r="BZ26" s="4"/>
      <c r="CA26" s="5"/>
      <c r="CB26" s="4"/>
      <c r="CC26" s="4"/>
      <c r="CD26" s="3"/>
      <c r="CE26" s="5"/>
      <c r="CF26" s="3"/>
      <c r="CG26" s="4"/>
      <c r="CH26" s="5"/>
      <c r="CI26" s="4"/>
      <c r="CJ26" s="4"/>
      <c r="CK26" s="3"/>
      <c r="CL26" s="5"/>
      <c r="CM26" s="3"/>
      <c r="CN26" s="4"/>
      <c r="CO26" s="5"/>
      <c r="CP26" s="4"/>
      <c r="CQ26" s="4"/>
      <c r="CR26" s="3"/>
      <c r="CS26" s="5"/>
      <c r="CT26" s="3"/>
      <c r="CU26" s="4"/>
      <c r="CV26" s="5"/>
      <c r="CW26" s="4"/>
      <c r="CX26" s="4"/>
      <c r="CY26" s="3"/>
      <c r="CZ26" s="5"/>
      <c r="DA26" s="3"/>
      <c r="DB26" s="4"/>
      <c r="DC26" s="5"/>
      <c r="DD26" s="4"/>
      <c r="DE26" s="4"/>
      <c r="DF26" s="3"/>
      <c r="DG26" s="5"/>
      <c r="DH26" s="3"/>
      <c r="DI26" s="4"/>
      <c r="DJ26" s="5"/>
      <c r="DK26" s="4"/>
      <c r="DL26" s="4"/>
      <c r="DM26" s="3"/>
      <c r="DN26" s="5"/>
      <c r="DO26" s="3"/>
      <c r="DP26" s="4"/>
      <c r="DQ26" s="5"/>
      <c r="DR26" s="4"/>
      <c r="DS26" s="4"/>
      <c r="DT26" s="3"/>
      <c r="DU26" s="5"/>
      <c r="DV26" s="3"/>
      <c r="DW26" s="4"/>
      <c r="DX26" s="5"/>
      <c r="DY26" s="4"/>
      <c r="DZ26" s="4"/>
      <c r="EA26" s="3"/>
      <c r="EB26" s="5"/>
      <c r="EC26" s="3"/>
      <c r="ED26" s="4"/>
      <c r="EE26" s="5"/>
      <c r="EF26" s="4"/>
      <c r="EG26" s="4"/>
      <c r="EH26" s="3"/>
      <c r="EI26" s="5"/>
      <c r="EJ26" s="3"/>
      <c r="EK26" s="3"/>
      <c r="EL26" s="116"/>
      <c r="EM26" s="25"/>
      <c r="EO26" s="119"/>
      <c r="EP26" s="119"/>
      <c r="EQ26" s="119"/>
      <c r="ER26" s="120"/>
      <c r="ES26" s="119"/>
      <c r="ET26" s="119"/>
      <c r="EU26" s="120"/>
      <c r="EV26" s="119"/>
      <c r="EW26" s="119"/>
      <c r="EX26" s="120"/>
      <c r="EY26" s="120"/>
      <c r="EZ26" s="119"/>
      <c r="FA26" s="119"/>
      <c r="FB26" s="120"/>
      <c r="FC26" s="119"/>
      <c r="FD26" s="119"/>
      <c r="FE26" s="119"/>
      <c r="FF26" s="119"/>
      <c r="FG26" s="120"/>
      <c r="FH26" s="119"/>
      <c r="FI26" s="119"/>
      <c r="FJ26" s="120"/>
      <c r="FK26" s="119"/>
      <c r="FL26" s="119"/>
      <c r="FM26" s="120"/>
      <c r="FN26" s="120"/>
      <c r="FO26" s="119"/>
      <c r="FP26" s="119"/>
      <c r="FQ26" s="120"/>
      <c r="FR26" s="119"/>
      <c r="FS26" s="121"/>
      <c r="FT26" s="121"/>
      <c r="FU26" s="121"/>
      <c r="FV26" s="121"/>
      <c r="FW26" s="121"/>
      <c r="FX26" s="121"/>
      <c r="FY26" s="121"/>
      <c r="FZ26" s="121"/>
      <c r="GA26" s="121"/>
      <c r="GB26" s="121"/>
      <c r="GC26" s="121"/>
      <c r="GD26" s="121"/>
      <c r="GE26" s="121"/>
      <c r="GF26" s="121"/>
      <c r="GG26" s="121"/>
      <c r="GI26" s="121"/>
      <c r="GJ26" s="121"/>
      <c r="GK26" s="121"/>
      <c r="GL26" s="121"/>
      <c r="GM26" s="121"/>
      <c r="GN26" s="121"/>
      <c r="GO26" s="121"/>
      <c r="GP26" s="121"/>
      <c r="GQ26" s="121"/>
      <c r="GR26" s="121"/>
      <c r="GS26" s="121"/>
      <c r="GT26" s="121"/>
      <c r="GU26" s="121"/>
      <c r="GV26" s="121"/>
      <c r="GW26" s="121"/>
      <c r="GX26" s="121"/>
      <c r="GZ26" s="119"/>
      <c r="HA26" s="119"/>
      <c r="HB26" s="119"/>
      <c r="HC26" s="120"/>
      <c r="HD26" s="119"/>
      <c r="HE26" s="119"/>
      <c r="HF26" s="120"/>
      <c r="HG26" s="119"/>
      <c r="HH26" s="119"/>
      <c r="HI26" s="120"/>
      <c r="HJ26" s="120"/>
      <c r="HK26" s="119"/>
      <c r="HL26" s="119"/>
      <c r="HM26" s="120"/>
      <c r="HN26" s="119"/>
      <c r="HO26" s="119"/>
      <c r="HP26" s="119"/>
      <c r="HQ26" s="120"/>
      <c r="HR26" s="119"/>
      <c r="HS26" s="119"/>
      <c r="HT26" s="120"/>
      <c r="HU26" s="119"/>
      <c r="HV26" s="119"/>
      <c r="HW26" s="120"/>
      <c r="HX26" s="120"/>
      <c r="HY26" s="119"/>
      <c r="HZ26" s="119"/>
      <c r="IA26" s="120"/>
      <c r="IB26" s="119"/>
      <c r="IC26" s="119"/>
      <c r="ID26" s="119"/>
      <c r="IE26" s="120"/>
      <c r="IF26" s="119"/>
      <c r="IG26" s="119"/>
      <c r="IH26" s="120"/>
      <c r="II26" s="119"/>
      <c r="IJ26" s="119"/>
      <c r="IK26" s="120"/>
      <c r="IL26" s="120"/>
      <c r="IM26" s="119"/>
      <c r="IN26" s="119"/>
      <c r="IO26" s="120"/>
      <c r="IP26" s="119"/>
      <c r="IQ26" s="119"/>
      <c r="IR26" s="119"/>
      <c r="IS26" s="120"/>
      <c r="IT26" s="119"/>
      <c r="IU26" s="119"/>
      <c r="IV26" s="120"/>
      <c r="IW26" s="119"/>
      <c r="IX26" s="119"/>
      <c r="IY26" s="120"/>
      <c r="IZ26" s="120"/>
      <c r="JA26" s="119"/>
      <c r="JB26" s="119"/>
      <c r="JC26" s="120"/>
      <c r="JD26" s="119"/>
      <c r="JE26" s="119"/>
      <c r="JF26" s="119"/>
      <c r="JG26" s="120"/>
      <c r="JH26" s="119"/>
      <c r="JI26" s="119"/>
      <c r="JJ26" s="120"/>
      <c r="JK26" s="119"/>
      <c r="JL26" s="119"/>
      <c r="JM26" s="120"/>
      <c r="JN26" s="120"/>
      <c r="JO26" s="119"/>
      <c r="JP26" s="119"/>
      <c r="JQ26" s="120"/>
      <c r="JR26" s="119"/>
      <c r="JS26" s="119"/>
      <c r="JT26" s="119"/>
      <c r="JU26" s="120"/>
      <c r="JV26" s="119"/>
      <c r="JW26" s="119"/>
      <c r="JX26" s="120"/>
      <c r="JY26" s="119"/>
      <c r="JZ26" s="119"/>
      <c r="KA26" s="120"/>
      <c r="KB26" s="120"/>
      <c r="KC26" s="119"/>
      <c r="KD26" s="119"/>
      <c r="KE26" s="120"/>
      <c r="KF26" s="119"/>
      <c r="KG26" s="119"/>
      <c r="KH26" s="119"/>
      <c r="KI26" s="120"/>
      <c r="KJ26" s="119"/>
      <c r="KK26" s="119"/>
      <c r="KL26" s="120"/>
      <c r="KM26" s="119"/>
      <c r="KN26" s="119"/>
      <c r="KO26" s="120"/>
      <c r="KP26" s="120"/>
      <c r="KQ26" s="119"/>
      <c r="KR26" s="119"/>
      <c r="KS26" s="120"/>
      <c r="KT26" s="119"/>
      <c r="KU26" s="119"/>
      <c r="KV26" s="119"/>
      <c r="KW26" s="120"/>
      <c r="KX26" s="119"/>
      <c r="KY26" s="119"/>
      <c r="KZ26" s="120"/>
      <c r="LA26" s="119"/>
      <c r="LB26" s="119"/>
      <c r="LC26" s="120"/>
      <c r="LD26" s="120"/>
      <c r="LE26" s="119"/>
      <c r="LF26" s="119"/>
      <c r="LG26" s="120"/>
      <c r="LH26" s="119"/>
      <c r="LI26" s="119"/>
      <c r="LJ26" s="119"/>
      <c r="LK26" s="120"/>
      <c r="LL26" s="119"/>
      <c r="LM26" s="119"/>
      <c r="LN26" s="120"/>
      <c r="LO26" s="119"/>
      <c r="LP26" s="119"/>
      <c r="LQ26" s="120"/>
      <c r="LR26" s="120"/>
      <c r="LS26" s="119"/>
      <c r="LT26" s="119"/>
      <c r="LU26" s="120"/>
      <c r="LV26" s="119"/>
      <c r="LW26" s="119"/>
      <c r="LX26" s="119"/>
      <c r="LY26" s="120"/>
      <c r="LZ26" s="119"/>
      <c r="MA26" s="119"/>
      <c r="MB26" s="120"/>
      <c r="MC26" s="119"/>
      <c r="MD26" s="119"/>
      <c r="ME26" s="120"/>
      <c r="MF26" s="120"/>
      <c r="MG26" s="119"/>
      <c r="MH26" s="119"/>
      <c r="MI26" s="120"/>
      <c r="MJ26" s="119"/>
      <c r="MK26" s="119"/>
      <c r="ML26" s="119"/>
      <c r="MM26" s="120"/>
      <c r="MN26" s="119"/>
      <c r="MO26" s="119"/>
      <c r="MP26" s="120"/>
      <c r="MQ26" s="119"/>
      <c r="MR26" s="119"/>
      <c r="MS26" s="120"/>
      <c r="MT26" s="120"/>
      <c r="MU26" s="119"/>
      <c r="MV26" s="119"/>
      <c r="MW26" s="120"/>
      <c r="MX26" s="119"/>
      <c r="MY26" s="119"/>
      <c r="MZ26" s="119"/>
      <c r="NA26" s="120"/>
      <c r="NB26" s="119"/>
      <c r="NC26" s="119"/>
      <c r="ND26" s="120"/>
      <c r="NE26" s="119"/>
      <c r="NF26" s="119"/>
      <c r="NG26" s="120"/>
      <c r="NH26" s="120"/>
      <c r="NI26" s="119"/>
      <c r="NJ26" s="119"/>
      <c r="NK26" s="120"/>
      <c r="NL26" s="119"/>
      <c r="NM26" s="119"/>
      <c r="NN26" s="119"/>
      <c r="NO26" s="120"/>
      <c r="NP26" s="119"/>
      <c r="NQ26" s="119"/>
      <c r="NR26" s="120"/>
      <c r="NS26" s="119"/>
      <c r="NT26" s="119"/>
      <c r="NU26" s="120"/>
      <c r="NV26" s="120"/>
      <c r="NW26" s="119"/>
      <c r="NX26" s="119"/>
      <c r="NY26" s="120"/>
      <c r="NZ26" s="119"/>
      <c r="OA26" s="119"/>
      <c r="OB26" s="119"/>
      <c r="OC26" s="120"/>
      <c r="OD26" s="119"/>
      <c r="OE26" s="119"/>
      <c r="OF26" s="120"/>
      <c r="OG26" s="119"/>
      <c r="OH26" s="119"/>
      <c r="OI26" s="120"/>
      <c r="OJ26" s="120"/>
      <c r="OK26" s="119"/>
      <c r="OL26" s="119"/>
      <c r="OM26" s="120"/>
      <c r="ON26" s="119"/>
      <c r="OO26" s="119"/>
      <c r="OP26" s="119"/>
      <c r="OQ26" s="120"/>
      <c r="OR26" s="119"/>
      <c r="OS26" s="119"/>
      <c r="OT26" s="120"/>
      <c r="OU26" s="119"/>
      <c r="OV26" s="119"/>
      <c r="OW26" s="120"/>
      <c r="OX26" s="120"/>
      <c r="OY26" s="119"/>
      <c r="OZ26" s="119"/>
      <c r="PA26" s="120"/>
      <c r="PC26" s="120"/>
      <c r="PD26" s="120"/>
      <c r="PE26" s="272"/>
      <c r="PF26" s="120"/>
      <c r="PG26" s="121"/>
      <c r="PH26" s="121"/>
      <c r="PI26" s="121"/>
      <c r="PJ26" s="121"/>
      <c r="PK26" s="121"/>
      <c r="PL26" s="121"/>
      <c r="PM26" s="121"/>
      <c r="PN26" s="121"/>
      <c r="PO26" s="121"/>
      <c r="PP26" s="121"/>
      <c r="PQ26" s="121"/>
      <c r="PR26" s="121"/>
      <c r="PS26" s="121"/>
      <c r="PT26" s="121"/>
      <c r="PU26" s="121"/>
    </row>
    <row r="27" spans="1:437" ht="40.700000000000003" customHeight="1" x14ac:dyDescent="0.2">
      <c r="A27" s="117"/>
      <c r="B27" s="118"/>
      <c r="C27" s="118"/>
      <c r="D27" s="118"/>
      <c r="E27" s="118"/>
      <c r="F27" s="118"/>
      <c r="G27" s="118"/>
      <c r="H27" s="118"/>
      <c r="I27" s="118"/>
      <c r="J27" s="118"/>
      <c r="K27" s="118"/>
      <c r="L27" s="118"/>
      <c r="M27" s="257"/>
      <c r="N27" s="257"/>
      <c r="O27" s="257"/>
      <c r="P27" s="118"/>
      <c r="Q27" s="253" t="str">
        <f xml:space="preserve"> vbaIsZero(CalcTAR(F27, U27, J27, K27, M27,N27))</f>
        <v/>
      </c>
      <c r="R27" s="254" t="str">
        <f xml:space="preserve"> vbaIsZero(CalcTUR(F27, U27, J27, K27, P27))</f>
        <v/>
      </c>
      <c r="S27" s="117"/>
      <c r="T27" s="122"/>
      <c r="U27" s="119"/>
      <c r="V27" s="119"/>
      <c r="W27" s="123"/>
      <c r="X27" s="57" t="str">
        <f xml:space="preserve"> vbaIsError(PFAmgr(F27, U27, J27, K27,O27, $AC$1, R27, $AC$2 ))</f>
        <v/>
      </c>
      <c r="Y27" s="57" t="str">
        <f xml:space="preserve"> vbaIsError(PFRmgr(F27, U27, J27, K27,O27, $AC$1, R27, $AC$2 ))</f>
        <v/>
      </c>
      <c r="Z27" s="57" t="str">
        <f xml:space="preserve"> vbaIsError(GBMultmgr($AA$1, F27, U27, J27, K27,AA27,AB27))</f>
        <v/>
      </c>
      <c r="AA27" s="72" t="str">
        <f xml:space="preserve"> vbaIsError(ResDwn(GBLowMgr($AA$1, F27, U27, J27, K27,O27, $AA$2 ), FC27))</f>
        <v/>
      </c>
      <c r="AB27" s="72" t="str">
        <f xml:space="preserve"> vbaIsError(ResUp(GBUpMgr($AA$1, F27, U27, J27, K27,O27, $AA$2 ), FC27))</f>
        <v/>
      </c>
      <c r="AC27" s="57" t="str">
        <f xml:space="preserve"> vbaIsError(PFAWGBmgr(F27, U27, J27, K27,O27,$AA$2,AA27,AB27))</f>
        <v/>
      </c>
      <c r="AD27" s="57" t="str">
        <f xml:space="preserve"> vbaIsError(PFRWGBmgr(F27, U27, J27, K27,O27,$AA$2,AA27,AB27))</f>
        <v/>
      </c>
      <c r="AE27" s="254" t="str">
        <f xml:space="preserve"> vbaIsError(CalIntwGBMgr(F27,U27,J27,K27,O27,$AA$2,$AC$1,AA27,AB27,R27,$AC$2,$AA$3))</f>
        <v/>
      </c>
      <c r="AF27" s="260" t="str">
        <f xml:space="preserve"> vbaIsError(CalIntMgr(F27,U27,J27,K27,O27,$AA$2,$AC$1,R27,$AC$2,$AA$3,$AA$1))</f>
        <v/>
      </c>
      <c r="AG27" s="57" t="str">
        <f xml:space="preserve"> vbaIsError(CalRelMgr(F27,U27,J27,K27,O27,$AA$2,$AC$1,R27,$AC$2,$AA$3,$AA$1))</f>
        <v/>
      </c>
      <c r="AH27" s="256"/>
      <c r="AI27" s="3"/>
      <c r="AJ27" s="4"/>
      <c r="AK27" s="5"/>
      <c r="AL27" s="4"/>
      <c r="AM27" s="4"/>
      <c r="AN27" s="3"/>
      <c r="AO27" s="5"/>
      <c r="AP27" s="3"/>
      <c r="AQ27" s="4"/>
      <c r="AR27" s="5"/>
      <c r="AS27" s="4"/>
      <c r="AT27" s="4"/>
      <c r="AU27" s="3"/>
      <c r="AV27" s="5"/>
      <c r="AW27" s="3"/>
      <c r="AX27" s="4"/>
      <c r="AY27" s="5"/>
      <c r="AZ27" s="4"/>
      <c r="BA27" s="4"/>
      <c r="BB27" s="3"/>
      <c r="BC27" s="5"/>
      <c r="BD27" s="3"/>
      <c r="BE27" s="4"/>
      <c r="BF27" s="5"/>
      <c r="BG27" s="4"/>
      <c r="BH27" s="4"/>
      <c r="BI27" s="3"/>
      <c r="BJ27" s="5"/>
      <c r="BK27" s="3"/>
      <c r="BL27" s="4"/>
      <c r="BM27" s="5"/>
      <c r="BN27" s="4"/>
      <c r="BO27" s="4"/>
      <c r="BP27" s="3"/>
      <c r="BQ27" s="5"/>
      <c r="BR27" s="3"/>
      <c r="BS27" s="4"/>
      <c r="BT27" s="5"/>
      <c r="BU27" s="4"/>
      <c r="BV27" s="4"/>
      <c r="BW27" s="3"/>
      <c r="BX27" s="5"/>
      <c r="BY27" s="3"/>
      <c r="BZ27" s="4"/>
      <c r="CA27" s="5"/>
      <c r="CB27" s="4"/>
      <c r="CC27" s="4"/>
      <c r="CD27" s="3"/>
      <c r="CE27" s="5"/>
      <c r="CF27" s="3"/>
      <c r="CG27" s="4"/>
      <c r="CH27" s="5"/>
      <c r="CI27" s="4"/>
      <c r="CJ27" s="4"/>
      <c r="CK27" s="3"/>
      <c r="CL27" s="5"/>
      <c r="CM27" s="3"/>
      <c r="CN27" s="4"/>
      <c r="CO27" s="5"/>
      <c r="CP27" s="4"/>
      <c r="CQ27" s="4"/>
      <c r="CR27" s="3"/>
      <c r="CS27" s="5"/>
      <c r="CT27" s="3"/>
      <c r="CU27" s="4"/>
      <c r="CV27" s="5"/>
      <c r="CW27" s="4"/>
      <c r="CX27" s="4"/>
      <c r="CY27" s="3"/>
      <c r="CZ27" s="5"/>
      <c r="DA27" s="3"/>
      <c r="DB27" s="4"/>
      <c r="DC27" s="5"/>
      <c r="DD27" s="4"/>
      <c r="DE27" s="4"/>
      <c r="DF27" s="3"/>
      <c r="DG27" s="5"/>
      <c r="DH27" s="3"/>
      <c r="DI27" s="4"/>
      <c r="DJ27" s="5"/>
      <c r="DK27" s="4"/>
      <c r="DL27" s="4"/>
      <c r="DM27" s="3"/>
      <c r="DN27" s="5"/>
      <c r="DO27" s="3"/>
      <c r="DP27" s="4"/>
      <c r="DQ27" s="5"/>
      <c r="DR27" s="4"/>
      <c r="DS27" s="4"/>
      <c r="DT27" s="3"/>
      <c r="DU27" s="5"/>
      <c r="DV27" s="3"/>
      <c r="DW27" s="4"/>
      <c r="DX27" s="5"/>
      <c r="DY27" s="4"/>
      <c r="DZ27" s="4"/>
      <c r="EA27" s="3"/>
      <c r="EB27" s="5"/>
      <c r="EC27" s="3"/>
      <c r="ED27" s="4"/>
      <c r="EE27" s="5"/>
      <c r="EF27" s="4"/>
      <c r="EG27" s="4"/>
      <c r="EH27" s="3"/>
      <c r="EI27" s="5"/>
      <c r="EJ27" s="3"/>
      <c r="EK27" s="3"/>
      <c r="EL27" s="116"/>
      <c r="EM27" s="25"/>
      <c r="EO27" s="119"/>
      <c r="EP27" s="119"/>
      <c r="EQ27" s="119"/>
      <c r="ER27" s="120"/>
      <c r="ES27" s="119"/>
      <c r="ET27" s="119"/>
      <c r="EU27" s="120"/>
      <c r="EV27" s="119"/>
      <c r="EW27" s="119"/>
      <c r="EX27" s="120"/>
      <c r="EY27" s="120"/>
      <c r="EZ27" s="119"/>
      <c r="FA27" s="119"/>
      <c r="FB27" s="120"/>
      <c r="FC27" s="119"/>
      <c r="FD27" s="119"/>
      <c r="FE27" s="119"/>
      <c r="FF27" s="119"/>
      <c r="FG27" s="120"/>
      <c r="FH27" s="119"/>
      <c r="FI27" s="119"/>
      <c r="FJ27" s="120"/>
      <c r="FK27" s="119"/>
      <c r="FL27" s="119"/>
      <c r="FM27" s="120"/>
      <c r="FN27" s="120"/>
      <c r="FO27" s="119"/>
      <c r="FP27" s="119"/>
      <c r="FQ27" s="120"/>
      <c r="FR27" s="119"/>
      <c r="FS27" s="121"/>
      <c r="FT27" s="121"/>
      <c r="FU27" s="121"/>
      <c r="FV27" s="121"/>
      <c r="FW27" s="121"/>
      <c r="FX27" s="121"/>
      <c r="FY27" s="121"/>
      <c r="FZ27" s="121"/>
      <c r="GA27" s="121"/>
      <c r="GB27" s="121"/>
      <c r="GC27" s="121"/>
      <c r="GD27" s="121"/>
      <c r="GE27" s="121"/>
      <c r="GF27" s="121"/>
      <c r="GG27" s="121"/>
      <c r="GI27" s="121"/>
      <c r="GJ27" s="121"/>
      <c r="GK27" s="121"/>
      <c r="GL27" s="121"/>
      <c r="GM27" s="121"/>
      <c r="GN27" s="121"/>
      <c r="GO27" s="121"/>
      <c r="GP27" s="121"/>
      <c r="GQ27" s="121"/>
      <c r="GR27" s="121"/>
      <c r="GS27" s="121"/>
      <c r="GT27" s="121"/>
      <c r="GU27" s="121"/>
      <c r="GV27" s="121"/>
      <c r="GW27" s="121"/>
      <c r="GX27" s="121"/>
      <c r="GZ27" s="119"/>
      <c r="HA27" s="119"/>
      <c r="HB27" s="119"/>
      <c r="HC27" s="120"/>
      <c r="HD27" s="119"/>
      <c r="HE27" s="119"/>
      <c r="HF27" s="120"/>
      <c r="HG27" s="119"/>
      <c r="HH27" s="119"/>
      <c r="HI27" s="120"/>
      <c r="HJ27" s="120"/>
      <c r="HK27" s="119"/>
      <c r="HL27" s="119"/>
      <c r="HM27" s="120"/>
      <c r="HN27" s="119"/>
      <c r="HO27" s="119"/>
      <c r="HP27" s="119"/>
      <c r="HQ27" s="120"/>
      <c r="HR27" s="119"/>
      <c r="HS27" s="119"/>
      <c r="HT27" s="120"/>
      <c r="HU27" s="119"/>
      <c r="HV27" s="119"/>
      <c r="HW27" s="120"/>
      <c r="HX27" s="120"/>
      <c r="HY27" s="119"/>
      <c r="HZ27" s="119"/>
      <c r="IA27" s="120"/>
      <c r="IB27" s="119"/>
      <c r="IC27" s="119"/>
      <c r="ID27" s="119"/>
      <c r="IE27" s="120"/>
      <c r="IF27" s="119"/>
      <c r="IG27" s="119"/>
      <c r="IH27" s="120"/>
      <c r="II27" s="119"/>
      <c r="IJ27" s="119"/>
      <c r="IK27" s="120"/>
      <c r="IL27" s="120"/>
      <c r="IM27" s="119"/>
      <c r="IN27" s="119"/>
      <c r="IO27" s="120"/>
      <c r="IP27" s="119"/>
      <c r="IQ27" s="119"/>
      <c r="IR27" s="119"/>
      <c r="IS27" s="120"/>
      <c r="IT27" s="119"/>
      <c r="IU27" s="119"/>
      <c r="IV27" s="120"/>
      <c r="IW27" s="119"/>
      <c r="IX27" s="119"/>
      <c r="IY27" s="120"/>
      <c r="IZ27" s="120"/>
      <c r="JA27" s="119"/>
      <c r="JB27" s="119"/>
      <c r="JC27" s="120"/>
      <c r="JD27" s="119"/>
      <c r="JE27" s="119"/>
      <c r="JF27" s="119"/>
      <c r="JG27" s="120"/>
      <c r="JH27" s="119"/>
      <c r="JI27" s="119"/>
      <c r="JJ27" s="120"/>
      <c r="JK27" s="119"/>
      <c r="JL27" s="119"/>
      <c r="JM27" s="120"/>
      <c r="JN27" s="120"/>
      <c r="JO27" s="119"/>
      <c r="JP27" s="119"/>
      <c r="JQ27" s="120"/>
      <c r="JR27" s="119"/>
      <c r="JS27" s="119"/>
      <c r="JT27" s="119"/>
      <c r="JU27" s="120"/>
      <c r="JV27" s="119"/>
      <c r="JW27" s="119"/>
      <c r="JX27" s="120"/>
      <c r="JY27" s="119"/>
      <c r="JZ27" s="119"/>
      <c r="KA27" s="120"/>
      <c r="KB27" s="120"/>
      <c r="KC27" s="119"/>
      <c r="KD27" s="119"/>
      <c r="KE27" s="120"/>
      <c r="KF27" s="119"/>
      <c r="KG27" s="119"/>
      <c r="KH27" s="119"/>
      <c r="KI27" s="120"/>
      <c r="KJ27" s="119"/>
      <c r="KK27" s="119"/>
      <c r="KL27" s="120"/>
      <c r="KM27" s="119"/>
      <c r="KN27" s="119"/>
      <c r="KO27" s="120"/>
      <c r="KP27" s="120"/>
      <c r="KQ27" s="119"/>
      <c r="KR27" s="119"/>
      <c r="KS27" s="120"/>
      <c r="KT27" s="119"/>
      <c r="KU27" s="119"/>
      <c r="KV27" s="119"/>
      <c r="KW27" s="120"/>
      <c r="KX27" s="119"/>
      <c r="KY27" s="119"/>
      <c r="KZ27" s="120"/>
      <c r="LA27" s="119"/>
      <c r="LB27" s="119"/>
      <c r="LC27" s="120"/>
      <c r="LD27" s="120"/>
      <c r="LE27" s="119"/>
      <c r="LF27" s="119"/>
      <c r="LG27" s="120"/>
      <c r="LH27" s="119"/>
      <c r="LI27" s="119"/>
      <c r="LJ27" s="119"/>
      <c r="LK27" s="120"/>
      <c r="LL27" s="119"/>
      <c r="LM27" s="119"/>
      <c r="LN27" s="120"/>
      <c r="LO27" s="119"/>
      <c r="LP27" s="119"/>
      <c r="LQ27" s="120"/>
      <c r="LR27" s="120"/>
      <c r="LS27" s="119"/>
      <c r="LT27" s="119"/>
      <c r="LU27" s="120"/>
      <c r="LV27" s="119"/>
      <c r="LW27" s="119"/>
      <c r="LX27" s="119"/>
      <c r="LY27" s="120"/>
      <c r="LZ27" s="119"/>
      <c r="MA27" s="119"/>
      <c r="MB27" s="120"/>
      <c r="MC27" s="119"/>
      <c r="MD27" s="119"/>
      <c r="ME27" s="120"/>
      <c r="MF27" s="120"/>
      <c r="MG27" s="119"/>
      <c r="MH27" s="119"/>
      <c r="MI27" s="120"/>
      <c r="MJ27" s="119"/>
      <c r="MK27" s="119"/>
      <c r="ML27" s="119"/>
      <c r="MM27" s="120"/>
      <c r="MN27" s="119"/>
      <c r="MO27" s="119"/>
      <c r="MP27" s="120"/>
      <c r="MQ27" s="119"/>
      <c r="MR27" s="119"/>
      <c r="MS27" s="120"/>
      <c r="MT27" s="120"/>
      <c r="MU27" s="119"/>
      <c r="MV27" s="119"/>
      <c r="MW27" s="120"/>
      <c r="MX27" s="119"/>
      <c r="MY27" s="119"/>
      <c r="MZ27" s="119"/>
      <c r="NA27" s="120"/>
      <c r="NB27" s="119"/>
      <c r="NC27" s="119"/>
      <c r="ND27" s="120"/>
      <c r="NE27" s="119"/>
      <c r="NF27" s="119"/>
      <c r="NG27" s="120"/>
      <c r="NH27" s="120"/>
      <c r="NI27" s="119"/>
      <c r="NJ27" s="119"/>
      <c r="NK27" s="120"/>
      <c r="NL27" s="119"/>
      <c r="NM27" s="119"/>
      <c r="NN27" s="119"/>
      <c r="NO27" s="120"/>
      <c r="NP27" s="119"/>
      <c r="NQ27" s="119"/>
      <c r="NR27" s="120"/>
      <c r="NS27" s="119"/>
      <c r="NT27" s="119"/>
      <c r="NU27" s="120"/>
      <c r="NV27" s="120"/>
      <c r="NW27" s="119"/>
      <c r="NX27" s="119"/>
      <c r="NY27" s="120"/>
      <c r="NZ27" s="119"/>
      <c r="OA27" s="119"/>
      <c r="OB27" s="119"/>
      <c r="OC27" s="120"/>
      <c r="OD27" s="119"/>
      <c r="OE27" s="119"/>
      <c r="OF27" s="120"/>
      <c r="OG27" s="119"/>
      <c r="OH27" s="119"/>
      <c r="OI27" s="120"/>
      <c r="OJ27" s="120"/>
      <c r="OK27" s="119"/>
      <c r="OL27" s="119"/>
      <c r="OM27" s="120"/>
      <c r="ON27" s="119"/>
      <c r="OO27" s="119"/>
      <c r="OP27" s="119"/>
      <c r="OQ27" s="120"/>
      <c r="OR27" s="119"/>
      <c r="OS27" s="119"/>
      <c r="OT27" s="120"/>
      <c r="OU27" s="119"/>
      <c r="OV27" s="119"/>
      <c r="OW27" s="120"/>
      <c r="OX27" s="120"/>
      <c r="OY27" s="119"/>
      <c r="OZ27" s="119"/>
      <c r="PA27" s="120"/>
      <c r="PC27" s="120"/>
      <c r="PD27" s="120"/>
      <c r="PE27" s="272"/>
      <c r="PF27" s="120"/>
      <c r="PG27" s="121"/>
      <c r="PH27" s="121"/>
      <c r="PI27" s="121"/>
      <c r="PJ27" s="121"/>
      <c r="PK27" s="121"/>
      <c r="PL27" s="121"/>
      <c r="PM27" s="121"/>
      <c r="PN27" s="121"/>
      <c r="PO27" s="121"/>
      <c r="PP27" s="121"/>
      <c r="PQ27" s="121"/>
      <c r="PR27" s="121"/>
      <c r="PS27" s="121"/>
      <c r="PT27" s="121"/>
      <c r="PU27" s="121"/>
    </row>
    <row r="28" spans="1:437" ht="40.700000000000003" customHeight="1" x14ac:dyDescent="0.2">
      <c r="A28" s="117"/>
      <c r="B28" s="118"/>
      <c r="C28" s="118"/>
      <c r="D28" s="118"/>
      <c r="E28" s="118"/>
      <c r="F28" s="118"/>
      <c r="G28" s="118"/>
      <c r="H28" s="118"/>
      <c r="I28" s="118"/>
      <c r="J28" s="118"/>
      <c r="K28" s="118"/>
      <c r="L28" s="118"/>
      <c r="M28" s="257"/>
      <c r="N28" s="257"/>
      <c r="O28" s="257"/>
      <c r="P28" s="118"/>
      <c r="Q28" s="253" t="str">
        <f xml:space="preserve"> vbaIsZero(CalcTAR(F28, U28, J28, K28, M28,N28))</f>
        <v/>
      </c>
      <c r="R28" s="254" t="str">
        <f xml:space="preserve"> vbaIsZero(CalcTUR(F28, U28, J28, K28, P28))</f>
        <v/>
      </c>
      <c r="S28" s="117"/>
      <c r="T28" s="122"/>
      <c r="U28" s="119"/>
      <c r="V28" s="119"/>
      <c r="W28" s="123"/>
      <c r="X28" s="57" t="str">
        <f xml:space="preserve"> vbaIsError(PFAmgr(F28, U28, J28, K28,O28, $AC$1, R28, $AC$2 ))</f>
        <v/>
      </c>
      <c r="Y28" s="57" t="str">
        <f xml:space="preserve"> vbaIsError(PFRmgr(F28, U28, J28, K28,O28, $AC$1, R28, $AC$2 ))</f>
        <v/>
      </c>
      <c r="Z28" s="57" t="str">
        <f xml:space="preserve"> vbaIsError(GBMultmgr($AA$1, F28, U28, J28, K28,AA28,AB28))</f>
        <v/>
      </c>
      <c r="AA28" s="72" t="str">
        <f xml:space="preserve"> vbaIsError(ResDwn(GBLowMgr($AA$1, F28, U28, J28, K28,O28, $AA$2 ), FC28))</f>
        <v/>
      </c>
      <c r="AB28" s="72" t="str">
        <f xml:space="preserve"> vbaIsError(ResUp(GBUpMgr($AA$1, F28, U28, J28, K28,O28, $AA$2 ), FC28))</f>
        <v/>
      </c>
      <c r="AC28" s="57" t="str">
        <f xml:space="preserve"> vbaIsError(PFAWGBmgr(F28, U28, J28, K28,O28,$AA$2,AA28,AB28))</f>
        <v/>
      </c>
      <c r="AD28" s="57" t="str">
        <f xml:space="preserve"> vbaIsError(PFRWGBmgr(F28, U28, J28, K28,O28,$AA$2,AA28,AB28))</f>
        <v/>
      </c>
      <c r="AE28" s="254" t="str">
        <f xml:space="preserve"> vbaIsError(CalIntwGBMgr(F28,U28,J28,K28,O28,$AA$2,$AC$1,AA28,AB28,R28,$AC$2,$AA$3))</f>
        <v/>
      </c>
      <c r="AF28" s="260" t="str">
        <f xml:space="preserve"> vbaIsError(CalIntMgr(F28,U28,J28,K28,O28,$AA$2,$AC$1,R28,$AC$2,$AA$3,$AA$1))</f>
        <v/>
      </c>
      <c r="AG28" s="57" t="str">
        <f xml:space="preserve"> vbaIsError(CalRelMgr(F28,U28,J28,K28,O28,$AA$2,$AC$1,R28,$AC$2,$AA$3,$AA$1))</f>
        <v/>
      </c>
      <c r="AH28" s="256"/>
      <c r="AI28" s="3"/>
      <c r="AJ28" s="4"/>
      <c r="AK28" s="5"/>
      <c r="AL28" s="4"/>
      <c r="AM28" s="4"/>
      <c r="AN28" s="3"/>
      <c r="AO28" s="5"/>
      <c r="AP28" s="3"/>
      <c r="AQ28" s="4"/>
      <c r="AR28" s="5"/>
      <c r="AS28" s="4"/>
      <c r="AT28" s="4"/>
      <c r="AU28" s="3"/>
      <c r="AV28" s="5"/>
      <c r="AW28" s="3"/>
      <c r="AX28" s="4"/>
      <c r="AY28" s="5"/>
      <c r="AZ28" s="4"/>
      <c r="BA28" s="4"/>
      <c r="BB28" s="3"/>
      <c r="BC28" s="5"/>
      <c r="BD28" s="3"/>
      <c r="BE28" s="4"/>
      <c r="BF28" s="5"/>
      <c r="BG28" s="4"/>
      <c r="BH28" s="4"/>
      <c r="BI28" s="3"/>
      <c r="BJ28" s="5"/>
      <c r="BK28" s="3"/>
      <c r="BL28" s="4"/>
      <c r="BM28" s="5"/>
      <c r="BN28" s="4"/>
      <c r="BO28" s="4"/>
      <c r="BP28" s="3"/>
      <c r="BQ28" s="5"/>
      <c r="BR28" s="3"/>
      <c r="BS28" s="4"/>
      <c r="BT28" s="5"/>
      <c r="BU28" s="4"/>
      <c r="BV28" s="4"/>
      <c r="BW28" s="3"/>
      <c r="BX28" s="5"/>
      <c r="BY28" s="3"/>
      <c r="BZ28" s="4"/>
      <c r="CA28" s="5"/>
      <c r="CB28" s="4"/>
      <c r="CC28" s="4"/>
      <c r="CD28" s="3"/>
      <c r="CE28" s="5"/>
      <c r="CF28" s="3"/>
      <c r="CG28" s="4"/>
      <c r="CH28" s="5"/>
      <c r="CI28" s="4"/>
      <c r="CJ28" s="4"/>
      <c r="CK28" s="3"/>
      <c r="CL28" s="5"/>
      <c r="CM28" s="3"/>
      <c r="CN28" s="4"/>
      <c r="CO28" s="5"/>
      <c r="CP28" s="4"/>
      <c r="CQ28" s="4"/>
      <c r="CR28" s="3"/>
      <c r="CS28" s="5"/>
      <c r="CT28" s="3"/>
      <c r="CU28" s="4"/>
      <c r="CV28" s="5"/>
      <c r="CW28" s="4"/>
      <c r="CX28" s="4"/>
      <c r="CY28" s="3"/>
      <c r="CZ28" s="5"/>
      <c r="DA28" s="3"/>
      <c r="DB28" s="4"/>
      <c r="DC28" s="5"/>
      <c r="DD28" s="4"/>
      <c r="DE28" s="4"/>
      <c r="DF28" s="3"/>
      <c r="DG28" s="5"/>
      <c r="DH28" s="3"/>
      <c r="DI28" s="4"/>
      <c r="DJ28" s="5"/>
      <c r="DK28" s="4"/>
      <c r="DL28" s="4"/>
      <c r="DM28" s="3"/>
      <c r="DN28" s="5"/>
      <c r="DO28" s="3"/>
      <c r="DP28" s="4"/>
      <c r="DQ28" s="5"/>
      <c r="DR28" s="4"/>
      <c r="DS28" s="4"/>
      <c r="DT28" s="3"/>
      <c r="DU28" s="5"/>
      <c r="DV28" s="3"/>
      <c r="DW28" s="4"/>
      <c r="DX28" s="5"/>
      <c r="DY28" s="4"/>
      <c r="DZ28" s="4"/>
      <c r="EA28" s="3"/>
      <c r="EB28" s="5"/>
      <c r="EC28" s="3"/>
      <c r="ED28" s="4"/>
      <c r="EE28" s="5"/>
      <c r="EF28" s="4"/>
      <c r="EG28" s="4"/>
      <c r="EH28" s="3"/>
      <c r="EI28" s="5"/>
      <c r="EJ28" s="3"/>
      <c r="EK28" s="3"/>
      <c r="EL28" s="116"/>
      <c r="EM28" s="25"/>
      <c r="EO28" s="119"/>
      <c r="EP28" s="119"/>
      <c r="EQ28" s="119"/>
      <c r="ER28" s="120"/>
      <c r="ES28" s="119"/>
      <c r="ET28" s="119"/>
      <c r="EU28" s="120"/>
      <c r="EV28" s="119"/>
      <c r="EW28" s="119"/>
      <c r="EX28" s="120"/>
      <c r="EY28" s="120"/>
      <c r="EZ28" s="119"/>
      <c r="FA28" s="119"/>
      <c r="FB28" s="120"/>
      <c r="FC28" s="119"/>
      <c r="FD28" s="119"/>
      <c r="FE28" s="119"/>
      <c r="FF28" s="119"/>
      <c r="FG28" s="120"/>
      <c r="FH28" s="119"/>
      <c r="FI28" s="119"/>
      <c r="FJ28" s="120"/>
      <c r="FK28" s="119"/>
      <c r="FL28" s="119"/>
      <c r="FM28" s="120"/>
      <c r="FN28" s="120"/>
      <c r="FO28" s="119"/>
      <c r="FP28" s="119"/>
      <c r="FQ28" s="120"/>
      <c r="FR28" s="119"/>
      <c r="FS28" s="121"/>
      <c r="FT28" s="121"/>
      <c r="FU28" s="121"/>
      <c r="FV28" s="121"/>
      <c r="FW28" s="121"/>
      <c r="FX28" s="121"/>
      <c r="FY28" s="121"/>
      <c r="FZ28" s="121"/>
      <c r="GA28" s="121"/>
      <c r="GB28" s="121"/>
      <c r="GC28" s="121"/>
      <c r="GD28" s="121"/>
      <c r="GE28" s="121"/>
      <c r="GF28" s="121"/>
      <c r="GG28" s="121"/>
      <c r="GI28" s="121"/>
      <c r="GJ28" s="121"/>
      <c r="GK28" s="121"/>
      <c r="GL28" s="121"/>
      <c r="GM28" s="121"/>
      <c r="GN28" s="121"/>
      <c r="GO28" s="121"/>
      <c r="GP28" s="121"/>
      <c r="GQ28" s="121"/>
      <c r="GR28" s="121"/>
      <c r="GS28" s="121"/>
      <c r="GT28" s="121"/>
      <c r="GU28" s="121"/>
      <c r="GV28" s="121"/>
      <c r="GW28" s="121"/>
      <c r="GX28" s="121"/>
      <c r="GZ28" s="119"/>
      <c r="HA28" s="119"/>
      <c r="HB28" s="119"/>
      <c r="HC28" s="120"/>
      <c r="HD28" s="119"/>
      <c r="HE28" s="119"/>
      <c r="HF28" s="120"/>
      <c r="HG28" s="119"/>
      <c r="HH28" s="119"/>
      <c r="HI28" s="120"/>
      <c r="HJ28" s="120"/>
      <c r="HK28" s="119"/>
      <c r="HL28" s="119"/>
      <c r="HM28" s="120"/>
      <c r="HN28" s="119"/>
      <c r="HO28" s="119"/>
      <c r="HP28" s="119"/>
      <c r="HQ28" s="120"/>
      <c r="HR28" s="119"/>
      <c r="HS28" s="119"/>
      <c r="HT28" s="120"/>
      <c r="HU28" s="119"/>
      <c r="HV28" s="119"/>
      <c r="HW28" s="120"/>
      <c r="HX28" s="120"/>
      <c r="HY28" s="119"/>
      <c r="HZ28" s="119"/>
      <c r="IA28" s="120"/>
      <c r="IB28" s="119"/>
      <c r="IC28" s="119"/>
      <c r="ID28" s="119"/>
      <c r="IE28" s="120"/>
      <c r="IF28" s="119"/>
      <c r="IG28" s="119"/>
      <c r="IH28" s="120"/>
      <c r="II28" s="119"/>
      <c r="IJ28" s="119"/>
      <c r="IK28" s="120"/>
      <c r="IL28" s="120"/>
      <c r="IM28" s="119"/>
      <c r="IN28" s="119"/>
      <c r="IO28" s="120"/>
      <c r="IP28" s="119"/>
      <c r="IQ28" s="119"/>
      <c r="IR28" s="119"/>
      <c r="IS28" s="120"/>
      <c r="IT28" s="119"/>
      <c r="IU28" s="119"/>
      <c r="IV28" s="120"/>
      <c r="IW28" s="119"/>
      <c r="IX28" s="119"/>
      <c r="IY28" s="120"/>
      <c r="IZ28" s="120"/>
      <c r="JA28" s="119"/>
      <c r="JB28" s="119"/>
      <c r="JC28" s="120"/>
      <c r="JD28" s="119"/>
      <c r="JE28" s="119"/>
      <c r="JF28" s="119"/>
      <c r="JG28" s="120"/>
      <c r="JH28" s="119"/>
      <c r="JI28" s="119"/>
      <c r="JJ28" s="120"/>
      <c r="JK28" s="119"/>
      <c r="JL28" s="119"/>
      <c r="JM28" s="120"/>
      <c r="JN28" s="120"/>
      <c r="JO28" s="119"/>
      <c r="JP28" s="119"/>
      <c r="JQ28" s="120"/>
      <c r="JR28" s="119"/>
      <c r="JS28" s="119"/>
      <c r="JT28" s="119"/>
      <c r="JU28" s="120"/>
      <c r="JV28" s="119"/>
      <c r="JW28" s="119"/>
      <c r="JX28" s="120"/>
      <c r="JY28" s="119"/>
      <c r="JZ28" s="119"/>
      <c r="KA28" s="120"/>
      <c r="KB28" s="120"/>
      <c r="KC28" s="119"/>
      <c r="KD28" s="119"/>
      <c r="KE28" s="120"/>
      <c r="KF28" s="119"/>
      <c r="KG28" s="119"/>
      <c r="KH28" s="119"/>
      <c r="KI28" s="120"/>
      <c r="KJ28" s="119"/>
      <c r="KK28" s="119"/>
      <c r="KL28" s="120"/>
      <c r="KM28" s="119"/>
      <c r="KN28" s="119"/>
      <c r="KO28" s="120"/>
      <c r="KP28" s="120"/>
      <c r="KQ28" s="119"/>
      <c r="KR28" s="119"/>
      <c r="KS28" s="120"/>
      <c r="KT28" s="119"/>
      <c r="KU28" s="119"/>
      <c r="KV28" s="119"/>
      <c r="KW28" s="120"/>
      <c r="KX28" s="119"/>
      <c r="KY28" s="119"/>
      <c r="KZ28" s="120"/>
      <c r="LA28" s="119"/>
      <c r="LB28" s="119"/>
      <c r="LC28" s="120"/>
      <c r="LD28" s="120"/>
      <c r="LE28" s="119"/>
      <c r="LF28" s="119"/>
      <c r="LG28" s="120"/>
      <c r="LH28" s="119"/>
      <c r="LI28" s="119"/>
      <c r="LJ28" s="119"/>
      <c r="LK28" s="120"/>
      <c r="LL28" s="119"/>
      <c r="LM28" s="119"/>
      <c r="LN28" s="120"/>
      <c r="LO28" s="119"/>
      <c r="LP28" s="119"/>
      <c r="LQ28" s="120"/>
      <c r="LR28" s="120"/>
      <c r="LS28" s="119"/>
      <c r="LT28" s="119"/>
      <c r="LU28" s="120"/>
      <c r="LV28" s="119"/>
      <c r="LW28" s="119"/>
      <c r="LX28" s="119"/>
      <c r="LY28" s="120"/>
      <c r="LZ28" s="119"/>
      <c r="MA28" s="119"/>
      <c r="MB28" s="120"/>
      <c r="MC28" s="119"/>
      <c r="MD28" s="119"/>
      <c r="ME28" s="120"/>
      <c r="MF28" s="120"/>
      <c r="MG28" s="119"/>
      <c r="MH28" s="119"/>
      <c r="MI28" s="120"/>
      <c r="MJ28" s="119"/>
      <c r="MK28" s="119"/>
      <c r="ML28" s="119"/>
      <c r="MM28" s="120"/>
      <c r="MN28" s="119"/>
      <c r="MO28" s="119"/>
      <c r="MP28" s="120"/>
      <c r="MQ28" s="119"/>
      <c r="MR28" s="119"/>
      <c r="MS28" s="120"/>
      <c r="MT28" s="120"/>
      <c r="MU28" s="119"/>
      <c r="MV28" s="119"/>
      <c r="MW28" s="120"/>
      <c r="MX28" s="119"/>
      <c r="MY28" s="119"/>
      <c r="MZ28" s="119"/>
      <c r="NA28" s="120"/>
      <c r="NB28" s="119"/>
      <c r="NC28" s="119"/>
      <c r="ND28" s="120"/>
      <c r="NE28" s="119"/>
      <c r="NF28" s="119"/>
      <c r="NG28" s="120"/>
      <c r="NH28" s="120"/>
      <c r="NI28" s="119"/>
      <c r="NJ28" s="119"/>
      <c r="NK28" s="120"/>
      <c r="NL28" s="119"/>
      <c r="NM28" s="119"/>
      <c r="NN28" s="119"/>
      <c r="NO28" s="120"/>
      <c r="NP28" s="119"/>
      <c r="NQ28" s="119"/>
      <c r="NR28" s="120"/>
      <c r="NS28" s="119"/>
      <c r="NT28" s="119"/>
      <c r="NU28" s="120"/>
      <c r="NV28" s="120"/>
      <c r="NW28" s="119"/>
      <c r="NX28" s="119"/>
      <c r="NY28" s="120"/>
      <c r="NZ28" s="119"/>
      <c r="OA28" s="119"/>
      <c r="OB28" s="119"/>
      <c r="OC28" s="120"/>
      <c r="OD28" s="119"/>
      <c r="OE28" s="119"/>
      <c r="OF28" s="120"/>
      <c r="OG28" s="119"/>
      <c r="OH28" s="119"/>
      <c r="OI28" s="120"/>
      <c r="OJ28" s="120"/>
      <c r="OK28" s="119"/>
      <c r="OL28" s="119"/>
      <c r="OM28" s="120"/>
      <c r="ON28" s="119"/>
      <c r="OO28" s="119"/>
      <c r="OP28" s="119"/>
      <c r="OQ28" s="120"/>
      <c r="OR28" s="119"/>
      <c r="OS28" s="119"/>
      <c r="OT28" s="120"/>
      <c r="OU28" s="119"/>
      <c r="OV28" s="119"/>
      <c r="OW28" s="120"/>
      <c r="OX28" s="120"/>
      <c r="OY28" s="119"/>
      <c r="OZ28" s="119"/>
      <c r="PA28" s="120"/>
      <c r="PC28" s="120"/>
      <c r="PD28" s="120"/>
      <c r="PE28" s="272"/>
      <c r="PF28" s="120"/>
      <c r="PG28" s="121"/>
      <c r="PH28" s="121"/>
      <c r="PI28" s="121"/>
      <c r="PJ28" s="121"/>
      <c r="PK28" s="121"/>
      <c r="PL28" s="121"/>
      <c r="PM28" s="121"/>
      <c r="PN28" s="121"/>
      <c r="PO28" s="121"/>
      <c r="PP28" s="121"/>
      <c r="PQ28" s="121"/>
      <c r="PR28" s="121"/>
      <c r="PS28" s="121"/>
      <c r="PT28" s="121"/>
      <c r="PU28" s="121"/>
    </row>
    <row r="29" spans="1:437" ht="40.700000000000003" customHeight="1" x14ac:dyDescent="0.2">
      <c r="A29" s="117"/>
      <c r="B29" s="118"/>
      <c r="C29" s="118"/>
      <c r="D29" s="118"/>
      <c r="E29" s="118"/>
      <c r="F29" s="118"/>
      <c r="G29" s="118"/>
      <c r="H29" s="118"/>
      <c r="I29" s="118"/>
      <c r="J29" s="118"/>
      <c r="K29" s="118"/>
      <c r="L29" s="118"/>
      <c r="M29" s="257"/>
      <c r="N29" s="257"/>
      <c r="O29" s="257"/>
      <c r="P29" s="118"/>
      <c r="Q29" s="253" t="str">
        <f xml:space="preserve"> vbaIsZero(CalcTAR(F29, U29, J29, K29, M29,N29))</f>
        <v/>
      </c>
      <c r="R29" s="254" t="str">
        <f xml:space="preserve"> vbaIsZero(CalcTUR(F29, U29, J29, K29, P29))</f>
        <v/>
      </c>
      <c r="S29" s="117"/>
      <c r="T29" s="122"/>
      <c r="U29" s="119"/>
      <c r="V29" s="119"/>
      <c r="W29" s="123"/>
      <c r="X29" s="57" t="str">
        <f xml:space="preserve"> vbaIsError(PFAmgr(F29, U29, J29, K29,O29, $AC$1, R29, $AC$2 ))</f>
        <v/>
      </c>
      <c r="Y29" s="57" t="str">
        <f xml:space="preserve"> vbaIsError(PFRmgr(F29, U29, J29, K29,O29, $AC$1, R29, $AC$2 ))</f>
        <v/>
      </c>
      <c r="Z29" s="57" t="str">
        <f xml:space="preserve"> vbaIsError(GBMultmgr($AA$1, F29, U29, J29, K29,AA29,AB29))</f>
        <v/>
      </c>
      <c r="AA29" s="72" t="str">
        <f xml:space="preserve"> vbaIsError(ResDwn(GBLowMgr($AA$1, F29, U29, J29, K29,O29, $AA$2 ), FC29))</f>
        <v/>
      </c>
      <c r="AB29" s="72" t="str">
        <f xml:space="preserve"> vbaIsError(ResUp(GBUpMgr($AA$1, F29, U29, J29, K29,O29, $AA$2 ), FC29))</f>
        <v/>
      </c>
      <c r="AC29" s="57" t="str">
        <f xml:space="preserve"> vbaIsError(PFAWGBmgr(F29, U29, J29, K29,O29,$AA$2,AA29,AB29))</f>
        <v/>
      </c>
      <c r="AD29" s="57" t="str">
        <f xml:space="preserve"> vbaIsError(PFRWGBmgr(F29, U29, J29, K29,O29,$AA$2,AA29,AB29))</f>
        <v/>
      </c>
      <c r="AE29" s="254" t="str">
        <f xml:space="preserve"> vbaIsError(CalIntwGBMgr(F29,U29,J29,K29,O29,$AA$2,$AC$1,AA29,AB29,R29,$AC$2,$AA$3))</f>
        <v/>
      </c>
      <c r="AF29" s="260" t="str">
        <f xml:space="preserve"> vbaIsError(CalIntMgr(F29,U29,J29,K29,O29,$AA$2,$AC$1,R29,$AC$2,$AA$3,$AA$1))</f>
        <v/>
      </c>
      <c r="AG29" s="57" t="str">
        <f xml:space="preserve"> vbaIsError(CalRelMgr(F29,U29,J29,K29,O29,$AA$2,$AC$1,R29,$AC$2,$AA$3,$AA$1))</f>
        <v/>
      </c>
      <c r="AH29" s="256"/>
      <c r="AI29" s="3"/>
      <c r="AJ29" s="4"/>
      <c r="AK29" s="5"/>
      <c r="AL29" s="4"/>
      <c r="AM29" s="4"/>
      <c r="AN29" s="3"/>
      <c r="AO29" s="5"/>
      <c r="AP29" s="3"/>
      <c r="AQ29" s="4"/>
      <c r="AR29" s="5"/>
      <c r="AS29" s="4"/>
      <c r="AT29" s="4"/>
      <c r="AU29" s="3"/>
      <c r="AV29" s="5"/>
      <c r="AW29" s="3"/>
      <c r="AX29" s="4"/>
      <c r="AY29" s="5"/>
      <c r="AZ29" s="4"/>
      <c r="BA29" s="4"/>
      <c r="BB29" s="3"/>
      <c r="BC29" s="5"/>
      <c r="BD29" s="3"/>
      <c r="BE29" s="4"/>
      <c r="BF29" s="5"/>
      <c r="BG29" s="4"/>
      <c r="BH29" s="4"/>
      <c r="BI29" s="3"/>
      <c r="BJ29" s="5"/>
      <c r="BK29" s="3"/>
      <c r="BL29" s="4"/>
      <c r="BM29" s="5"/>
      <c r="BN29" s="4"/>
      <c r="BO29" s="4"/>
      <c r="BP29" s="3"/>
      <c r="BQ29" s="5"/>
      <c r="BR29" s="3"/>
      <c r="BS29" s="4"/>
      <c r="BT29" s="5"/>
      <c r="BU29" s="4"/>
      <c r="BV29" s="4"/>
      <c r="BW29" s="3"/>
      <c r="BX29" s="5"/>
      <c r="BY29" s="3"/>
      <c r="BZ29" s="4"/>
      <c r="CA29" s="5"/>
      <c r="CB29" s="4"/>
      <c r="CC29" s="4"/>
      <c r="CD29" s="3"/>
      <c r="CE29" s="5"/>
      <c r="CF29" s="3"/>
      <c r="CG29" s="4"/>
      <c r="CH29" s="5"/>
      <c r="CI29" s="4"/>
      <c r="CJ29" s="4"/>
      <c r="CK29" s="3"/>
      <c r="CL29" s="5"/>
      <c r="CM29" s="3"/>
      <c r="CN29" s="4"/>
      <c r="CO29" s="5"/>
      <c r="CP29" s="4"/>
      <c r="CQ29" s="4"/>
      <c r="CR29" s="3"/>
      <c r="CS29" s="5"/>
      <c r="CT29" s="3"/>
      <c r="CU29" s="4"/>
      <c r="CV29" s="5"/>
      <c r="CW29" s="4"/>
      <c r="CX29" s="4"/>
      <c r="CY29" s="3"/>
      <c r="CZ29" s="5"/>
      <c r="DA29" s="3"/>
      <c r="DB29" s="4"/>
      <c r="DC29" s="5"/>
      <c r="DD29" s="4"/>
      <c r="DE29" s="4"/>
      <c r="DF29" s="3"/>
      <c r="DG29" s="5"/>
      <c r="DH29" s="3"/>
      <c r="DI29" s="4"/>
      <c r="DJ29" s="5"/>
      <c r="DK29" s="4"/>
      <c r="DL29" s="4"/>
      <c r="DM29" s="3"/>
      <c r="DN29" s="5"/>
      <c r="DO29" s="3"/>
      <c r="DP29" s="4"/>
      <c r="DQ29" s="5"/>
      <c r="DR29" s="4"/>
      <c r="DS29" s="4"/>
      <c r="DT29" s="3"/>
      <c r="DU29" s="5"/>
      <c r="DV29" s="3"/>
      <c r="DW29" s="4"/>
      <c r="DX29" s="5"/>
      <c r="DY29" s="4"/>
      <c r="DZ29" s="4"/>
      <c r="EA29" s="3"/>
      <c r="EB29" s="5"/>
      <c r="EC29" s="3"/>
      <c r="ED29" s="4"/>
      <c r="EE29" s="5"/>
      <c r="EF29" s="4"/>
      <c r="EG29" s="4"/>
      <c r="EH29" s="3"/>
      <c r="EI29" s="5"/>
      <c r="EJ29" s="3"/>
      <c r="EK29" s="3"/>
      <c r="EL29" s="116"/>
      <c r="EM29" s="25"/>
      <c r="EO29" s="119"/>
      <c r="EP29" s="119"/>
      <c r="EQ29" s="119"/>
      <c r="ER29" s="120"/>
      <c r="ES29" s="119"/>
      <c r="ET29" s="119"/>
      <c r="EU29" s="120"/>
      <c r="EV29" s="119"/>
      <c r="EW29" s="119"/>
      <c r="EX29" s="120"/>
      <c r="EY29" s="120"/>
      <c r="EZ29" s="119"/>
      <c r="FA29" s="119"/>
      <c r="FB29" s="120"/>
      <c r="FC29" s="119"/>
      <c r="FD29" s="119"/>
      <c r="FE29" s="119"/>
      <c r="FF29" s="119"/>
      <c r="FG29" s="120"/>
      <c r="FH29" s="119"/>
      <c r="FI29" s="119"/>
      <c r="FJ29" s="120"/>
      <c r="FK29" s="119"/>
      <c r="FL29" s="119"/>
      <c r="FM29" s="120"/>
      <c r="FN29" s="120"/>
      <c r="FO29" s="119"/>
      <c r="FP29" s="119"/>
      <c r="FQ29" s="120"/>
      <c r="FR29" s="119"/>
      <c r="FS29" s="121"/>
      <c r="FT29" s="121"/>
      <c r="FU29" s="121"/>
      <c r="FV29" s="121"/>
      <c r="FW29" s="121"/>
      <c r="FX29" s="121"/>
      <c r="FY29" s="121"/>
      <c r="FZ29" s="121"/>
      <c r="GA29" s="121"/>
      <c r="GB29" s="121"/>
      <c r="GC29" s="121"/>
      <c r="GD29" s="121"/>
      <c r="GE29" s="121"/>
      <c r="GF29" s="121"/>
      <c r="GG29" s="121"/>
      <c r="GI29" s="121"/>
      <c r="GJ29" s="121"/>
      <c r="GK29" s="121"/>
      <c r="GL29" s="121"/>
      <c r="GM29" s="121"/>
      <c r="GN29" s="121"/>
      <c r="GO29" s="121"/>
      <c r="GP29" s="121"/>
      <c r="GQ29" s="121"/>
      <c r="GR29" s="121"/>
      <c r="GS29" s="121"/>
      <c r="GT29" s="121"/>
      <c r="GU29" s="121"/>
      <c r="GV29" s="121"/>
      <c r="GW29" s="121"/>
      <c r="GX29" s="121"/>
      <c r="GZ29" s="119"/>
      <c r="HA29" s="119"/>
      <c r="HB29" s="119"/>
      <c r="HC29" s="120"/>
      <c r="HD29" s="119"/>
      <c r="HE29" s="119"/>
      <c r="HF29" s="120"/>
      <c r="HG29" s="119"/>
      <c r="HH29" s="119"/>
      <c r="HI29" s="120"/>
      <c r="HJ29" s="120"/>
      <c r="HK29" s="119"/>
      <c r="HL29" s="119"/>
      <c r="HM29" s="120"/>
      <c r="HN29" s="119"/>
      <c r="HO29" s="119"/>
      <c r="HP29" s="119"/>
      <c r="HQ29" s="120"/>
      <c r="HR29" s="119"/>
      <c r="HS29" s="119"/>
      <c r="HT29" s="120"/>
      <c r="HU29" s="119"/>
      <c r="HV29" s="119"/>
      <c r="HW29" s="120"/>
      <c r="HX29" s="120"/>
      <c r="HY29" s="119"/>
      <c r="HZ29" s="119"/>
      <c r="IA29" s="120"/>
      <c r="IB29" s="119"/>
      <c r="IC29" s="119"/>
      <c r="ID29" s="119"/>
      <c r="IE29" s="120"/>
      <c r="IF29" s="119"/>
      <c r="IG29" s="119"/>
      <c r="IH29" s="120"/>
      <c r="II29" s="119"/>
      <c r="IJ29" s="119"/>
      <c r="IK29" s="120"/>
      <c r="IL29" s="120"/>
      <c r="IM29" s="119"/>
      <c r="IN29" s="119"/>
      <c r="IO29" s="120"/>
      <c r="IP29" s="119"/>
      <c r="IQ29" s="119"/>
      <c r="IR29" s="119"/>
      <c r="IS29" s="120"/>
      <c r="IT29" s="119"/>
      <c r="IU29" s="119"/>
      <c r="IV29" s="120"/>
      <c r="IW29" s="119"/>
      <c r="IX29" s="119"/>
      <c r="IY29" s="120"/>
      <c r="IZ29" s="120"/>
      <c r="JA29" s="119"/>
      <c r="JB29" s="119"/>
      <c r="JC29" s="120"/>
      <c r="JD29" s="119"/>
      <c r="JE29" s="119"/>
      <c r="JF29" s="119"/>
      <c r="JG29" s="120"/>
      <c r="JH29" s="119"/>
      <c r="JI29" s="119"/>
      <c r="JJ29" s="120"/>
      <c r="JK29" s="119"/>
      <c r="JL29" s="119"/>
      <c r="JM29" s="120"/>
      <c r="JN29" s="120"/>
      <c r="JO29" s="119"/>
      <c r="JP29" s="119"/>
      <c r="JQ29" s="120"/>
      <c r="JR29" s="119"/>
      <c r="JS29" s="119"/>
      <c r="JT29" s="119"/>
      <c r="JU29" s="120"/>
      <c r="JV29" s="119"/>
      <c r="JW29" s="119"/>
      <c r="JX29" s="120"/>
      <c r="JY29" s="119"/>
      <c r="JZ29" s="119"/>
      <c r="KA29" s="120"/>
      <c r="KB29" s="120"/>
      <c r="KC29" s="119"/>
      <c r="KD29" s="119"/>
      <c r="KE29" s="120"/>
      <c r="KF29" s="119"/>
      <c r="KG29" s="119"/>
      <c r="KH29" s="119"/>
      <c r="KI29" s="120"/>
      <c r="KJ29" s="119"/>
      <c r="KK29" s="119"/>
      <c r="KL29" s="120"/>
      <c r="KM29" s="119"/>
      <c r="KN29" s="119"/>
      <c r="KO29" s="120"/>
      <c r="KP29" s="120"/>
      <c r="KQ29" s="119"/>
      <c r="KR29" s="119"/>
      <c r="KS29" s="120"/>
      <c r="KT29" s="119"/>
      <c r="KU29" s="119"/>
      <c r="KV29" s="119"/>
      <c r="KW29" s="120"/>
      <c r="KX29" s="119"/>
      <c r="KY29" s="119"/>
      <c r="KZ29" s="120"/>
      <c r="LA29" s="119"/>
      <c r="LB29" s="119"/>
      <c r="LC29" s="120"/>
      <c r="LD29" s="120"/>
      <c r="LE29" s="119"/>
      <c r="LF29" s="119"/>
      <c r="LG29" s="120"/>
      <c r="LH29" s="119"/>
      <c r="LI29" s="119"/>
      <c r="LJ29" s="119"/>
      <c r="LK29" s="120"/>
      <c r="LL29" s="119"/>
      <c r="LM29" s="119"/>
      <c r="LN29" s="120"/>
      <c r="LO29" s="119"/>
      <c r="LP29" s="119"/>
      <c r="LQ29" s="120"/>
      <c r="LR29" s="120"/>
      <c r="LS29" s="119"/>
      <c r="LT29" s="119"/>
      <c r="LU29" s="120"/>
      <c r="LV29" s="119"/>
      <c r="LW29" s="119"/>
      <c r="LX29" s="119"/>
      <c r="LY29" s="120"/>
      <c r="LZ29" s="119"/>
      <c r="MA29" s="119"/>
      <c r="MB29" s="120"/>
      <c r="MC29" s="119"/>
      <c r="MD29" s="119"/>
      <c r="ME29" s="120"/>
      <c r="MF29" s="120"/>
      <c r="MG29" s="119"/>
      <c r="MH29" s="119"/>
      <c r="MI29" s="120"/>
      <c r="MJ29" s="119"/>
      <c r="MK29" s="119"/>
      <c r="ML29" s="119"/>
      <c r="MM29" s="120"/>
      <c r="MN29" s="119"/>
      <c r="MO29" s="119"/>
      <c r="MP29" s="120"/>
      <c r="MQ29" s="119"/>
      <c r="MR29" s="119"/>
      <c r="MS29" s="120"/>
      <c r="MT29" s="120"/>
      <c r="MU29" s="119"/>
      <c r="MV29" s="119"/>
      <c r="MW29" s="120"/>
      <c r="MX29" s="119"/>
      <c r="MY29" s="119"/>
      <c r="MZ29" s="119"/>
      <c r="NA29" s="120"/>
      <c r="NB29" s="119"/>
      <c r="NC29" s="119"/>
      <c r="ND29" s="120"/>
      <c r="NE29" s="119"/>
      <c r="NF29" s="119"/>
      <c r="NG29" s="120"/>
      <c r="NH29" s="120"/>
      <c r="NI29" s="119"/>
      <c r="NJ29" s="119"/>
      <c r="NK29" s="120"/>
      <c r="NL29" s="119"/>
      <c r="NM29" s="119"/>
      <c r="NN29" s="119"/>
      <c r="NO29" s="120"/>
      <c r="NP29" s="119"/>
      <c r="NQ29" s="119"/>
      <c r="NR29" s="120"/>
      <c r="NS29" s="119"/>
      <c r="NT29" s="119"/>
      <c r="NU29" s="120"/>
      <c r="NV29" s="120"/>
      <c r="NW29" s="119"/>
      <c r="NX29" s="119"/>
      <c r="NY29" s="120"/>
      <c r="NZ29" s="119"/>
      <c r="OA29" s="119"/>
      <c r="OB29" s="119"/>
      <c r="OC29" s="120"/>
      <c r="OD29" s="119"/>
      <c r="OE29" s="119"/>
      <c r="OF29" s="120"/>
      <c r="OG29" s="119"/>
      <c r="OH29" s="119"/>
      <c r="OI29" s="120"/>
      <c r="OJ29" s="120"/>
      <c r="OK29" s="119"/>
      <c r="OL29" s="119"/>
      <c r="OM29" s="120"/>
      <c r="ON29" s="119"/>
      <c r="OO29" s="119"/>
      <c r="OP29" s="119"/>
      <c r="OQ29" s="120"/>
      <c r="OR29" s="119"/>
      <c r="OS29" s="119"/>
      <c r="OT29" s="120"/>
      <c r="OU29" s="119"/>
      <c r="OV29" s="119"/>
      <c r="OW29" s="120"/>
      <c r="OX29" s="120"/>
      <c r="OY29" s="119"/>
      <c r="OZ29" s="119"/>
      <c r="PA29" s="120"/>
      <c r="PC29" s="120"/>
      <c r="PD29" s="120"/>
      <c r="PE29" s="272"/>
      <c r="PF29" s="120"/>
      <c r="PG29" s="121"/>
      <c r="PH29" s="121"/>
      <c r="PI29" s="121"/>
      <c r="PJ29" s="121"/>
      <c r="PK29" s="121"/>
      <c r="PL29" s="121"/>
      <c r="PM29" s="121"/>
      <c r="PN29" s="121"/>
      <c r="PO29" s="121"/>
      <c r="PP29" s="121"/>
      <c r="PQ29" s="121"/>
      <c r="PR29" s="121"/>
      <c r="PS29" s="121"/>
      <c r="PT29" s="121"/>
      <c r="PU29" s="121"/>
    </row>
    <row r="30" spans="1:437" ht="40.700000000000003" customHeight="1" x14ac:dyDescent="0.2">
      <c r="A30" s="117"/>
      <c r="B30" s="118"/>
      <c r="C30" s="118"/>
      <c r="D30" s="118"/>
      <c r="E30" s="118"/>
      <c r="F30" s="118"/>
      <c r="G30" s="118"/>
      <c r="H30" s="118"/>
      <c r="I30" s="118"/>
      <c r="J30" s="118"/>
      <c r="K30" s="118"/>
      <c r="L30" s="118"/>
      <c r="M30" s="257"/>
      <c r="N30" s="257"/>
      <c r="O30" s="257"/>
      <c r="P30" s="118"/>
      <c r="Q30" s="253" t="str">
        <f xml:space="preserve"> vbaIsZero(CalcTAR(F30, U30, J30, K30, M30,N30))</f>
        <v/>
      </c>
      <c r="R30" s="254" t="str">
        <f xml:space="preserve"> vbaIsZero(CalcTUR(F30, U30, J30, K30, P30))</f>
        <v/>
      </c>
      <c r="S30" s="117"/>
      <c r="T30" s="122"/>
      <c r="U30" s="119"/>
      <c r="V30" s="119"/>
      <c r="W30" s="123"/>
      <c r="X30" s="57" t="str">
        <f xml:space="preserve"> vbaIsError(PFAmgr(F30, U30, J30, K30,O30, $AC$1, R30, $AC$2 ))</f>
        <v/>
      </c>
      <c r="Y30" s="57" t="str">
        <f xml:space="preserve"> vbaIsError(PFRmgr(F30, U30, J30, K30,O30, $AC$1, R30, $AC$2 ))</f>
        <v/>
      </c>
      <c r="Z30" s="57" t="str">
        <f xml:space="preserve"> vbaIsError(GBMultmgr($AA$1, F30, U30, J30, K30,AA30,AB30))</f>
        <v/>
      </c>
      <c r="AA30" s="72" t="str">
        <f xml:space="preserve"> vbaIsError(ResDwn(GBLowMgr($AA$1, F30, U30, J30, K30,O30, $AA$2 ), FC30))</f>
        <v/>
      </c>
      <c r="AB30" s="72" t="str">
        <f xml:space="preserve"> vbaIsError(ResUp(GBUpMgr($AA$1, F30, U30, J30, K30,O30, $AA$2 ), FC30))</f>
        <v/>
      </c>
      <c r="AC30" s="57" t="str">
        <f xml:space="preserve"> vbaIsError(PFAWGBmgr(F30, U30, J30, K30,O30,$AA$2,AA30,AB30))</f>
        <v/>
      </c>
      <c r="AD30" s="57" t="str">
        <f xml:space="preserve"> vbaIsError(PFRWGBmgr(F30, U30, J30, K30,O30,$AA$2,AA30,AB30))</f>
        <v/>
      </c>
      <c r="AE30" s="254" t="str">
        <f xml:space="preserve"> vbaIsError(CalIntwGBMgr(F30,U30,J30,K30,O30,$AA$2,$AC$1,AA30,AB30,R30,$AC$2,$AA$3))</f>
        <v/>
      </c>
      <c r="AF30" s="260" t="str">
        <f xml:space="preserve"> vbaIsError(CalIntMgr(F30,U30,J30,K30,O30,$AA$2,$AC$1,R30,$AC$2,$AA$3,$AA$1))</f>
        <v/>
      </c>
      <c r="AG30" s="57" t="str">
        <f xml:space="preserve"> vbaIsError(CalRelMgr(F30,U30,J30,K30,O30,$AA$2,$AC$1,R30,$AC$2,$AA$3,$AA$1))</f>
        <v/>
      </c>
      <c r="AH30" s="256"/>
      <c r="AI30" s="3"/>
      <c r="AJ30" s="4"/>
      <c r="AK30" s="5"/>
      <c r="AL30" s="4"/>
      <c r="AM30" s="4"/>
      <c r="AN30" s="3"/>
      <c r="AO30" s="5"/>
      <c r="AP30" s="3"/>
      <c r="AQ30" s="4"/>
      <c r="AR30" s="5"/>
      <c r="AS30" s="4"/>
      <c r="AT30" s="4"/>
      <c r="AU30" s="3"/>
      <c r="AV30" s="5"/>
      <c r="AW30" s="3"/>
      <c r="AX30" s="4"/>
      <c r="AY30" s="5"/>
      <c r="AZ30" s="4"/>
      <c r="BA30" s="4"/>
      <c r="BB30" s="3"/>
      <c r="BC30" s="5"/>
      <c r="BD30" s="3"/>
      <c r="BE30" s="4"/>
      <c r="BF30" s="5"/>
      <c r="BG30" s="4"/>
      <c r="BH30" s="4"/>
      <c r="BI30" s="3"/>
      <c r="BJ30" s="5"/>
      <c r="BK30" s="3"/>
      <c r="BL30" s="4"/>
      <c r="BM30" s="5"/>
      <c r="BN30" s="4"/>
      <c r="BO30" s="4"/>
      <c r="BP30" s="3"/>
      <c r="BQ30" s="5"/>
      <c r="BR30" s="3"/>
      <c r="BS30" s="4"/>
      <c r="BT30" s="5"/>
      <c r="BU30" s="4"/>
      <c r="BV30" s="4"/>
      <c r="BW30" s="3"/>
      <c r="BX30" s="5"/>
      <c r="BY30" s="3"/>
      <c r="BZ30" s="4"/>
      <c r="CA30" s="5"/>
      <c r="CB30" s="4"/>
      <c r="CC30" s="4"/>
      <c r="CD30" s="3"/>
      <c r="CE30" s="5"/>
      <c r="CF30" s="3"/>
      <c r="CG30" s="4"/>
      <c r="CH30" s="5"/>
      <c r="CI30" s="4"/>
      <c r="CJ30" s="4"/>
      <c r="CK30" s="3"/>
      <c r="CL30" s="5"/>
      <c r="CM30" s="3"/>
      <c r="CN30" s="4"/>
      <c r="CO30" s="5"/>
      <c r="CP30" s="4"/>
      <c r="CQ30" s="4"/>
      <c r="CR30" s="3"/>
      <c r="CS30" s="5"/>
      <c r="CT30" s="3"/>
      <c r="CU30" s="4"/>
      <c r="CV30" s="5"/>
      <c r="CW30" s="4"/>
      <c r="CX30" s="4"/>
      <c r="CY30" s="3"/>
      <c r="CZ30" s="5"/>
      <c r="DA30" s="3"/>
      <c r="DB30" s="4"/>
      <c r="DC30" s="5"/>
      <c r="DD30" s="4"/>
      <c r="DE30" s="4"/>
      <c r="DF30" s="3"/>
      <c r="DG30" s="5"/>
      <c r="DH30" s="3"/>
      <c r="DI30" s="4"/>
      <c r="DJ30" s="5"/>
      <c r="DK30" s="4"/>
      <c r="DL30" s="4"/>
      <c r="DM30" s="3"/>
      <c r="DN30" s="5"/>
      <c r="DO30" s="3"/>
      <c r="DP30" s="4"/>
      <c r="DQ30" s="5"/>
      <c r="DR30" s="4"/>
      <c r="DS30" s="4"/>
      <c r="DT30" s="3"/>
      <c r="DU30" s="5"/>
      <c r="DV30" s="3"/>
      <c r="DW30" s="4"/>
      <c r="DX30" s="5"/>
      <c r="DY30" s="4"/>
      <c r="DZ30" s="4"/>
      <c r="EA30" s="3"/>
      <c r="EB30" s="5"/>
      <c r="EC30" s="3"/>
      <c r="ED30" s="4"/>
      <c r="EE30" s="5"/>
      <c r="EF30" s="4"/>
      <c r="EG30" s="4"/>
      <c r="EH30" s="3"/>
      <c r="EI30" s="5"/>
      <c r="EJ30" s="3"/>
      <c r="EK30" s="3"/>
      <c r="EL30" s="116"/>
      <c r="EM30" s="25"/>
      <c r="EO30" s="119"/>
      <c r="EP30" s="119"/>
      <c r="EQ30" s="119"/>
      <c r="ER30" s="120"/>
      <c r="ES30" s="119"/>
      <c r="ET30" s="119"/>
      <c r="EU30" s="120"/>
      <c r="EV30" s="119"/>
      <c r="EW30" s="119"/>
      <c r="EX30" s="120"/>
      <c r="EY30" s="120"/>
      <c r="EZ30" s="119"/>
      <c r="FA30" s="119"/>
      <c r="FB30" s="120"/>
      <c r="FC30" s="119"/>
      <c r="FD30" s="119"/>
      <c r="FE30" s="119"/>
      <c r="FF30" s="119"/>
      <c r="FG30" s="120"/>
      <c r="FH30" s="119"/>
      <c r="FI30" s="119"/>
      <c r="FJ30" s="120"/>
      <c r="FK30" s="119"/>
      <c r="FL30" s="119"/>
      <c r="FM30" s="120"/>
      <c r="FN30" s="120"/>
      <c r="FO30" s="119"/>
      <c r="FP30" s="119"/>
      <c r="FQ30" s="120"/>
      <c r="FR30" s="119"/>
      <c r="FS30" s="121"/>
      <c r="FT30" s="121"/>
      <c r="FU30" s="121"/>
      <c r="FV30" s="121"/>
      <c r="FW30" s="121"/>
      <c r="FX30" s="121"/>
      <c r="FY30" s="121"/>
      <c r="FZ30" s="121"/>
      <c r="GA30" s="121"/>
      <c r="GB30" s="121"/>
      <c r="GC30" s="121"/>
      <c r="GD30" s="121"/>
      <c r="GE30" s="121"/>
      <c r="GF30" s="121"/>
      <c r="GG30" s="121"/>
      <c r="GI30" s="121"/>
      <c r="GJ30" s="121"/>
      <c r="GK30" s="121"/>
      <c r="GL30" s="121"/>
      <c r="GM30" s="121"/>
      <c r="GN30" s="121"/>
      <c r="GO30" s="121"/>
      <c r="GP30" s="121"/>
      <c r="GQ30" s="121"/>
      <c r="GR30" s="121"/>
      <c r="GS30" s="121"/>
      <c r="GT30" s="121"/>
      <c r="GU30" s="121"/>
      <c r="GV30" s="121"/>
      <c r="GW30" s="121"/>
      <c r="GX30" s="121"/>
      <c r="GZ30" s="119"/>
      <c r="HA30" s="119"/>
      <c r="HB30" s="119"/>
      <c r="HC30" s="120"/>
      <c r="HD30" s="119"/>
      <c r="HE30" s="119"/>
      <c r="HF30" s="120"/>
      <c r="HG30" s="119"/>
      <c r="HH30" s="119"/>
      <c r="HI30" s="120"/>
      <c r="HJ30" s="120"/>
      <c r="HK30" s="119"/>
      <c r="HL30" s="119"/>
      <c r="HM30" s="120"/>
      <c r="HN30" s="119"/>
      <c r="HO30" s="119"/>
      <c r="HP30" s="119"/>
      <c r="HQ30" s="120"/>
      <c r="HR30" s="119"/>
      <c r="HS30" s="119"/>
      <c r="HT30" s="120"/>
      <c r="HU30" s="119"/>
      <c r="HV30" s="119"/>
      <c r="HW30" s="120"/>
      <c r="HX30" s="120"/>
      <c r="HY30" s="119"/>
      <c r="HZ30" s="119"/>
      <c r="IA30" s="120"/>
      <c r="IB30" s="119"/>
      <c r="IC30" s="119"/>
      <c r="ID30" s="119"/>
      <c r="IE30" s="120"/>
      <c r="IF30" s="119"/>
      <c r="IG30" s="119"/>
      <c r="IH30" s="120"/>
      <c r="II30" s="119"/>
      <c r="IJ30" s="119"/>
      <c r="IK30" s="120"/>
      <c r="IL30" s="120"/>
      <c r="IM30" s="119"/>
      <c r="IN30" s="119"/>
      <c r="IO30" s="120"/>
      <c r="IP30" s="119"/>
      <c r="IQ30" s="119"/>
      <c r="IR30" s="119"/>
      <c r="IS30" s="120"/>
      <c r="IT30" s="119"/>
      <c r="IU30" s="119"/>
      <c r="IV30" s="120"/>
      <c r="IW30" s="119"/>
      <c r="IX30" s="119"/>
      <c r="IY30" s="120"/>
      <c r="IZ30" s="120"/>
      <c r="JA30" s="119"/>
      <c r="JB30" s="119"/>
      <c r="JC30" s="120"/>
      <c r="JD30" s="119"/>
      <c r="JE30" s="119"/>
      <c r="JF30" s="119"/>
      <c r="JG30" s="120"/>
      <c r="JH30" s="119"/>
      <c r="JI30" s="119"/>
      <c r="JJ30" s="120"/>
      <c r="JK30" s="119"/>
      <c r="JL30" s="119"/>
      <c r="JM30" s="120"/>
      <c r="JN30" s="120"/>
      <c r="JO30" s="119"/>
      <c r="JP30" s="119"/>
      <c r="JQ30" s="120"/>
      <c r="JR30" s="119"/>
      <c r="JS30" s="119"/>
      <c r="JT30" s="119"/>
      <c r="JU30" s="120"/>
      <c r="JV30" s="119"/>
      <c r="JW30" s="119"/>
      <c r="JX30" s="120"/>
      <c r="JY30" s="119"/>
      <c r="JZ30" s="119"/>
      <c r="KA30" s="120"/>
      <c r="KB30" s="120"/>
      <c r="KC30" s="119"/>
      <c r="KD30" s="119"/>
      <c r="KE30" s="120"/>
      <c r="KF30" s="119"/>
      <c r="KG30" s="119"/>
      <c r="KH30" s="119"/>
      <c r="KI30" s="120"/>
      <c r="KJ30" s="119"/>
      <c r="KK30" s="119"/>
      <c r="KL30" s="120"/>
      <c r="KM30" s="119"/>
      <c r="KN30" s="119"/>
      <c r="KO30" s="120"/>
      <c r="KP30" s="120"/>
      <c r="KQ30" s="119"/>
      <c r="KR30" s="119"/>
      <c r="KS30" s="120"/>
      <c r="KT30" s="119"/>
      <c r="KU30" s="119"/>
      <c r="KV30" s="119"/>
      <c r="KW30" s="120"/>
      <c r="KX30" s="119"/>
      <c r="KY30" s="119"/>
      <c r="KZ30" s="120"/>
      <c r="LA30" s="119"/>
      <c r="LB30" s="119"/>
      <c r="LC30" s="120"/>
      <c r="LD30" s="120"/>
      <c r="LE30" s="119"/>
      <c r="LF30" s="119"/>
      <c r="LG30" s="120"/>
      <c r="LH30" s="119"/>
      <c r="LI30" s="119"/>
      <c r="LJ30" s="119"/>
      <c r="LK30" s="120"/>
      <c r="LL30" s="119"/>
      <c r="LM30" s="119"/>
      <c r="LN30" s="120"/>
      <c r="LO30" s="119"/>
      <c r="LP30" s="119"/>
      <c r="LQ30" s="120"/>
      <c r="LR30" s="120"/>
      <c r="LS30" s="119"/>
      <c r="LT30" s="119"/>
      <c r="LU30" s="120"/>
      <c r="LV30" s="119"/>
      <c r="LW30" s="119"/>
      <c r="LX30" s="119"/>
      <c r="LY30" s="120"/>
      <c r="LZ30" s="119"/>
      <c r="MA30" s="119"/>
      <c r="MB30" s="120"/>
      <c r="MC30" s="119"/>
      <c r="MD30" s="119"/>
      <c r="ME30" s="120"/>
      <c r="MF30" s="120"/>
      <c r="MG30" s="119"/>
      <c r="MH30" s="119"/>
      <c r="MI30" s="120"/>
      <c r="MJ30" s="119"/>
      <c r="MK30" s="119"/>
      <c r="ML30" s="119"/>
      <c r="MM30" s="120"/>
      <c r="MN30" s="119"/>
      <c r="MO30" s="119"/>
      <c r="MP30" s="120"/>
      <c r="MQ30" s="119"/>
      <c r="MR30" s="119"/>
      <c r="MS30" s="120"/>
      <c r="MT30" s="120"/>
      <c r="MU30" s="119"/>
      <c r="MV30" s="119"/>
      <c r="MW30" s="120"/>
      <c r="MX30" s="119"/>
      <c r="MY30" s="119"/>
      <c r="MZ30" s="119"/>
      <c r="NA30" s="120"/>
      <c r="NB30" s="119"/>
      <c r="NC30" s="119"/>
      <c r="ND30" s="120"/>
      <c r="NE30" s="119"/>
      <c r="NF30" s="119"/>
      <c r="NG30" s="120"/>
      <c r="NH30" s="120"/>
      <c r="NI30" s="119"/>
      <c r="NJ30" s="119"/>
      <c r="NK30" s="120"/>
      <c r="NL30" s="119"/>
      <c r="NM30" s="119"/>
      <c r="NN30" s="119"/>
      <c r="NO30" s="120"/>
      <c r="NP30" s="119"/>
      <c r="NQ30" s="119"/>
      <c r="NR30" s="120"/>
      <c r="NS30" s="119"/>
      <c r="NT30" s="119"/>
      <c r="NU30" s="120"/>
      <c r="NV30" s="120"/>
      <c r="NW30" s="119"/>
      <c r="NX30" s="119"/>
      <c r="NY30" s="120"/>
      <c r="NZ30" s="119"/>
      <c r="OA30" s="119"/>
      <c r="OB30" s="119"/>
      <c r="OC30" s="120"/>
      <c r="OD30" s="119"/>
      <c r="OE30" s="119"/>
      <c r="OF30" s="120"/>
      <c r="OG30" s="119"/>
      <c r="OH30" s="119"/>
      <c r="OI30" s="120"/>
      <c r="OJ30" s="120"/>
      <c r="OK30" s="119"/>
      <c r="OL30" s="119"/>
      <c r="OM30" s="120"/>
      <c r="ON30" s="119"/>
      <c r="OO30" s="119"/>
      <c r="OP30" s="119"/>
      <c r="OQ30" s="120"/>
      <c r="OR30" s="119"/>
      <c r="OS30" s="119"/>
      <c r="OT30" s="120"/>
      <c r="OU30" s="119"/>
      <c r="OV30" s="119"/>
      <c r="OW30" s="120"/>
      <c r="OX30" s="120"/>
      <c r="OY30" s="119"/>
      <c r="OZ30" s="119"/>
      <c r="PA30" s="120"/>
      <c r="PC30" s="120"/>
      <c r="PD30" s="120"/>
      <c r="PE30" s="272"/>
      <c r="PF30" s="120"/>
      <c r="PG30" s="121"/>
      <c r="PH30" s="121"/>
      <c r="PI30" s="121"/>
      <c r="PJ30" s="121"/>
      <c r="PK30" s="121"/>
      <c r="PL30" s="121"/>
      <c r="PM30" s="121"/>
      <c r="PN30" s="121"/>
      <c r="PO30" s="121"/>
      <c r="PP30" s="121"/>
      <c r="PQ30" s="121"/>
      <c r="PR30" s="121"/>
      <c r="PS30" s="121"/>
      <c r="PT30" s="121"/>
      <c r="PU30" s="121"/>
    </row>
    <row r="31" spans="1:437" ht="40.700000000000003" customHeight="1" x14ac:dyDescent="0.2">
      <c r="A31" s="117"/>
      <c r="B31" s="118"/>
      <c r="C31" s="118"/>
      <c r="D31" s="118"/>
      <c r="E31" s="118"/>
      <c r="F31" s="118"/>
      <c r="G31" s="118"/>
      <c r="H31" s="118"/>
      <c r="I31" s="118"/>
      <c r="J31" s="118"/>
      <c r="K31" s="118"/>
      <c r="L31" s="118"/>
      <c r="M31" s="257"/>
      <c r="N31" s="257"/>
      <c r="O31" s="257"/>
      <c r="P31" s="118"/>
      <c r="Q31" s="253" t="str">
        <f xml:space="preserve"> vbaIsZero(CalcTAR(F31, U31, J31, K31, M31,N31))</f>
        <v/>
      </c>
      <c r="R31" s="254" t="str">
        <f xml:space="preserve"> vbaIsZero(CalcTUR(F31, U31, J31, K31, P31))</f>
        <v/>
      </c>
      <c r="S31" s="117"/>
      <c r="T31" s="122"/>
      <c r="U31" s="119"/>
      <c r="V31" s="119"/>
      <c r="W31" s="123"/>
      <c r="X31" s="57" t="str">
        <f xml:space="preserve"> vbaIsError(PFAmgr(F31, U31, J31, K31,O31, $AC$1, R31, $AC$2 ))</f>
        <v/>
      </c>
      <c r="Y31" s="57" t="str">
        <f xml:space="preserve"> vbaIsError(PFRmgr(F31, U31, J31, K31,O31, $AC$1, R31, $AC$2 ))</f>
        <v/>
      </c>
      <c r="Z31" s="57" t="str">
        <f xml:space="preserve"> vbaIsError(GBMultmgr($AA$1, F31, U31, J31, K31,AA31,AB31))</f>
        <v/>
      </c>
      <c r="AA31" s="72" t="str">
        <f xml:space="preserve"> vbaIsError(ResDwn(GBLowMgr($AA$1, F31, U31, J31, K31,O31, $AA$2 ), FC31))</f>
        <v/>
      </c>
      <c r="AB31" s="72" t="str">
        <f xml:space="preserve"> vbaIsError(ResUp(GBUpMgr($AA$1, F31, U31, J31, K31,O31, $AA$2 ), FC31))</f>
        <v/>
      </c>
      <c r="AC31" s="57" t="str">
        <f xml:space="preserve"> vbaIsError(PFAWGBmgr(F31, U31, J31, K31,O31,$AA$2,AA31,AB31))</f>
        <v/>
      </c>
      <c r="AD31" s="57" t="str">
        <f xml:space="preserve"> vbaIsError(PFRWGBmgr(F31, U31, J31, K31,O31,$AA$2,AA31,AB31))</f>
        <v/>
      </c>
      <c r="AE31" s="254" t="str">
        <f xml:space="preserve"> vbaIsError(CalIntwGBMgr(F31,U31,J31,K31,O31,$AA$2,$AC$1,AA31,AB31,R31,$AC$2,$AA$3))</f>
        <v/>
      </c>
      <c r="AF31" s="260" t="str">
        <f xml:space="preserve"> vbaIsError(CalIntMgr(F31,U31,J31,K31,O31,$AA$2,$AC$1,R31,$AC$2,$AA$3,$AA$1))</f>
        <v/>
      </c>
      <c r="AG31" s="57" t="str">
        <f xml:space="preserve"> vbaIsError(CalRelMgr(F31,U31,J31,K31,O31,$AA$2,$AC$1,R31,$AC$2,$AA$3,$AA$1))</f>
        <v/>
      </c>
      <c r="AH31" s="256"/>
      <c r="AI31" s="3"/>
      <c r="AJ31" s="4"/>
      <c r="AK31" s="5"/>
      <c r="AL31" s="4"/>
      <c r="AM31" s="4"/>
      <c r="AN31" s="3"/>
      <c r="AO31" s="5"/>
      <c r="AP31" s="3"/>
      <c r="AQ31" s="4"/>
      <c r="AR31" s="5"/>
      <c r="AS31" s="4"/>
      <c r="AT31" s="4"/>
      <c r="AU31" s="3"/>
      <c r="AV31" s="5"/>
      <c r="AW31" s="3"/>
      <c r="AX31" s="4"/>
      <c r="AY31" s="5"/>
      <c r="AZ31" s="4"/>
      <c r="BA31" s="4"/>
      <c r="BB31" s="3"/>
      <c r="BC31" s="5"/>
      <c r="BD31" s="3"/>
      <c r="BE31" s="4"/>
      <c r="BF31" s="5"/>
      <c r="BG31" s="4"/>
      <c r="BH31" s="4"/>
      <c r="BI31" s="3"/>
      <c r="BJ31" s="5"/>
      <c r="BK31" s="3"/>
      <c r="BL31" s="4"/>
      <c r="BM31" s="5"/>
      <c r="BN31" s="4"/>
      <c r="BO31" s="4"/>
      <c r="BP31" s="3"/>
      <c r="BQ31" s="5"/>
      <c r="BR31" s="3"/>
      <c r="BS31" s="4"/>
      <c r="BT31" s="5"/>
      <c r="BU31" s="4"/>
      <c r="BV31" s="4"/>
      <c r="BW31" s="3"/>
      <c r="BX31" s="5"/>
      <c r="BY31" s="3"/>
      <c r="BZ31" s="4"/>
      <c r="CA31" s="5"/>
      <c r="CB31" s="4"/>
      <c r="CC31" s="4"/>
      <c r="CD31" s="3"/>
      <c r="CE31" s="5"/>
      <c r="CF31" s="3"/>
      <c r="CG31" s="4"/>
      <c r="CH31" s="5"/>
      <c r="CI31" s="4"/>
      <c r="CJ31" s="4"/>
      <c r="CK31" s="3"/>
      <c r="CL31" s="5"/>
      <c r="CM31" s="3"/>
      <c r="CN31" s="4"/>
      <c r="CO31" s="5"/>
      <c r="CP31" s="4"/>
      <c r="CQ31" s="4"/>
      <c r="CR31" s="3"/>
      <c r="CS31" s="5"/>
      <c r="CT31" s="3"/>
      <c r="CU31" s="4"/>
      <c r="CV31" s="5"/>
      <c r="CW31" s="4"/>
      <c r="CX31" s="4"/>
      <c r="CY31" s="3"/>
      <c r="CZ31" s="5"/>
      <c r="DA31" s="3"/>
      <c r="DB31" s="4"/>
      <c r="DC31" s="5"/>
      <c r="DD31" s="4"/>
      <c r="DE31" s="4"/>
      <c r="DF31" s="3"/>
      <c r="DG31" s="5"/>
      <c r="DH31" s="3"/>
      <c r="DI31" s="4"/>
      <c r="DJ31" s="5"/>
      <c r="DK31" s="4"/>
      <c r="DL31" s="4"/>
      <c r="DM31" s="3"/>
      <c r="DN31" s="5"/>
      <c r="DO31" s="3"/>
      <c r="DP31" s="4"/>
      <c r="DQ31" s="5"/>
      <c r="DR31" s="4"/>
      <c r="DS31" s="4"/>
      <c r="DT31" s="3"/>
      <c r="DU31" s="5"/>
      <c r="DV31" s="3"/>
      <c r="DW31" s="4"/>
      <c r="DX31" s="5"/>
      <c r="DY31" s="4"/>
      <c r="DZ31" s="4"/>
      <c r="EA31" s="3"/>
      <c r="EB31" s="5"/>
      <c r="EC31" s="3"/>
      <c r="ED31" s="4"/>
      <c r="EE31" s="5"/>
      <c r="EF31" s="4"/>
      <c r="EG31" s="4"/>
      <c r="EH31" s="3"/>
      <c r="EI31" s="5"/>
      <c r="EJ31" s="3"/>
      <c r="EK31" s="3"/>
      <c r="EL31" s="116"/>
      <c r="EM31" s="25"/>
      <c r="EO31" s="119"/>
      <c r="EP31" s="119"/>
      <c r="EQ31" s="119"/>
      <c r="ER31" s="120"/>
      <c r="ES31" s="119"/>
      <c r="ET31" s="119"/>
      <c r="EU31" s="120"/>
      <c r="EV31" s="119"/>
      <c r="EW31" s="119"/>
      <c r="EX31" s="120"/>
      <c r="EY31" s="120"/>
      <c r="EZ31" s="119"/>
      <c r="FA31" s="119"/>
      <c r="FB31" s="120"/>
      <c r="FC31" s="119"/>
      <c r="FD31" s="119"/>
      <c r="FE31" s="119"/>
      <c r="FF31" s="119"/>
      <c r="FG31" s="120"/>
      <c r="FH31" s="119"/>
      <c r="FI31" s="119"/>
      <c r="FJ31" s="120"/>
      <c r="FK31" s="119"/>
      <c r="FL31" s="119"/>
      <c r="FM31" s="120"/>
      <c r="FN31" s="120"/>
      <c r="FO31" s="119"/>
      <c r="FP31" s="119"/>
      <c r="FQ31" s="120"/>
      <c r="FR31" s="119"/>
      <c r="FS31" s="121"/>
      <c r="FT31" s="121"/>
      <c r="FU31" s="121"/>
      <c r="FV31" s="121"/>
      <c r="FW31" s="121"/>
      <c r="FX31" s="121"/>
      <c r="FY31" s="121"/>
      <c r="FZ31" s="121"/>
      <c r="GA31" s="121"/>
      <c r="GB31" s="121"/>
      <c r="GC31" s="121"/>
      <c r="GD31" s="121"/>
      <c r="GE31" s="121"/>
      <c r="GF31" s="121"/>
      <c r="GG31" s="121"/>
      <c r="GI31" s="121"/>
      <c r="GJ31" s="121"/>
      <c r="GK31" s="121"/>
      <c r="GL31" s="121"/>
      <c r="GM31" s="121"/>
      <c r="GN31" s="121"/>
      <c r="GO31" s="121"/>
      <c r="GP31" s="121"/>
      <c r="GQ31" s="121"/>
      <c r="GR31" s="121"/>
      <c r="GS31" s="121"/>
      <c r="GT31" s="121"/>
      <c r="GU31" s="121"/>
      <c r="GV31" s="121"/>
      <c r="GW31" s="121"/>
      <c r="GX31" s="121"/>
      <c r="GZ31" s="119"/>
      <c r="HA31" s="119"/>
      <c r="HB31" s="119"/>
      <c r="HC31" s="120"/>
      <c r="HD31" s="119"/>
      <c r="HE31" s="119"/>
      <c r="HF31" s="120"/>
      <c r="HG31" s="119"/>
      <c r="HH31" s="119"/>
      <c r="HI31" s="120"/>
      <c r="HJ31" s="120"/>
      <c r="HK31" s="119"/>
      <c r="HL31" s="119"/>
      <c r="HM31" s="120"/>
      <c r="HN31" s="119"/>
      <c r="HO31" s="119"/>
      <c r="HP31" s="119"/>
      <c r="HQ31" s="120"/>
      <c r="HR31" s="119"/>
      <c r="HS31" s="119"/>
      <c r="HT31" s="120"/>
      <c r="HU31" s="119"/>
      <c r="HV31" s="119"/>
      <c r="HW31" s="120"/>
      <c r="HX31" s="120"/>
      <c r="HY31" s="119"/>
      <c r="HZ31" s="119"/>
      <c r="IA31" s="120"/>
      <c r="IB31" s="119"/>
      <c r="IC31" s="119"/>
      <c r="ID31" s="119"/>
      <c r="IE31" s="120"/>
      <c r="IF31" s="119"/>
      <c r="IG31" s="119"/>
      <c r="IH31" s="120"/>
      <c r="II31" s="119"/>
      <c r="IJ31" s="119"/>
      <c r="IK31" s="120"/>
      <c r="IL31" s="120"/>
      <c r="IM31" s="119"/>
      <c r="IN31" s="119"/>
      <c r="IO31" s="120"/>
      <c r="IP31" s="119"/>
      <c r="IQ31" s="119"/>
      <c r="IR31" s="119"/>
      <c r="IS31" s="120"/>
      <c r="IT31" s="119"/>
      <c r="IU31" s="119"/>
      <c r="IV31" s="120"/>
      <c r="IW31" s="119"/>
      <c r="IX31" s="119"/>
      <c r="IY31" s="120"/>
      <c r="IZ31" s="120"/>
      <c r="JA31" s="119"/>
      <c r="JB31" s="119"/>
      <c r="JC31" s="120"/>
      <c r="JD31" s="119"/>
      <c r="JE31" s="119"/>
      <c r="JF31" s="119"/>
      <c r="JG31" s="120"/>
      <c r="JH31" s="119"/>
      <c r="JI31" s="119"/>
      <c r="JJ31" s="120"/>
      <c r="JK31" s="119"/>
      <c r="JL31" s="119"/>
      <c r="JM31" s="120"/>
      <c r="JN31" s="120"/>
      <c r="JO31" s="119"/>
      <c r="JP31" s="119"/>
      <c r="JQ31" s="120"/>
      <c r="JR31" s="119"/>
      <c r="JS31" s="119"/>
      <c r="JT31" s="119"/>
      <c r="JU31" s="120"/>
      <c r="JV31" s="119"/>
      <c r="JW31" s="119"/>
      <c r="JX31" s="120"/>
      <c r="JY31" s="119"/>
      <c r="JZ31" s="119"/>
      <c r="KA31" s="120"/>
      <c r="KB31" s="120"/>
      <c r="KC31" s="119"/>
      <c r="KD31" s="119"/>
      <c r="KE31" s="120"/>
      <c r="KF31" s="119"/>
      <c r="KG31" s="119"/>
      <c r="KH31" s="119"/>
      <c r="KI31" s="120"/>
      <c r="KJ31" s="119"/>
      <c r="KK31" s="119"/>
      <c r="KL31" s="120"/>
      <c r="KM31" s="119"/>
      <c r="KN31" s="119"/>
      <c r="KO31" s="120"/>
      <c r="KP31" s="120"/>
      <c r="KQ31" s="119"/>
      <c r="KR31" s="119"/>
      <c r="KS31" s="120"/>
      <c r="KT31" s="119"/>
      <c r="KU31" s="119"/>
      <c r="KV31" s="119"/>
      <c r="KW31" s="120"/>
      <c r="KX31" s="119"/>
      <c r="KY31" s="119"/>
      <c r="KZ31" s="120"/>
      <c r="LA31" s="119"/>
      <c r="LB31" s="119"/>
      <c r="LC31" s="120"/>
      <c r="LD31" s="120"/>
      <c r="LE31" s="119"/>
      <c r="LF31" s="119"/>
      <c r="LG31" s="120"/>
      <c r="LH31" s="119"/>
      <c r="LI31" s="119"/>
      <c r="LJ31" s="119"/>
      <c r="LK31" s="120"/>
      <c r="LL31" s="119"/>
      <c r="LM31" s="119"/>
      <c r="LN31" s="120"/>
      <c r="LO31" s="119"/>
      <c r="LP31" s="119"/>
      <c r="LQ31" s="120"/>
      <c r="LR31" s="120"/>
      <c r="LS31" s="119"/>
      <c r="LT31" s="119"/>
      <c r="LU31" s="120"/>
      <c r="LV31" s="119"/>
      <c r="LW31" s="119"/>
      <c r="LX31" s="119"/>
      <c r="LY31" s="120"/>
      <c r="LZ31" s="119"/>
      <c r="MA31" s="119"/>
      <c r="MB31" s="120"/>
      <c r="MC31" s="119"/>
      <c r="MD31" s="119"/>
      <c r="ME31" s="120"/>
      <c r="MF31" s="120"/>
      <c r="MG31" s="119"/>
      <c r="MH31" s="119"/>
      <c r="MI31" s="120"/>
      <c r="MJ31" s="119"/>
      <c r="MK31" s="119"/>
      <c r="ML31" s="119"/>
      <c r="MM31" s="120"/>
      <c r="MN31" s="119"/>
      <c r="MO31" s="119"/>
      <c r="MP31" s="120"/>
      <c r="MQ31" s="119"/>
      <c r="MR31" s="119"/>
      <c r="MS31" s="120"/>
      <c r="MT31" s="120"/>
      <c r="MU31" s="119"/>
      <c r="MV31" s="119"/>
      <c r="MW31" s="120"/>
      <c r="MX31" s="119"/>
      <c r="MY31" s="119"/>
      <c r="MZ31" s="119"/>
      <c r="NA31" s="120"/>
      <c r="NB31" s="119"/>
      <c r="NC31" s="119"/>
      <c r="ND31" s="120"/>
      <c r="NE31" s="119"/>
      <c r="NF31" s="119"/>
      <c r="NG31" s="120"/>
      <c r="NH31" s="120"/>
      <c r="NI31" s="119"/>
      <c r="NJ31" s="119"/>
      <c r="NK31" s="120"/>
      <c r="NL31" s="119"/>
      <c r="NM31" s="119"/>
      <c r="NN31" s="119"/>
      <c r="NO31" s="120"/>
      <c r="NP31" s="119"/>
      <c r="NQ31" s="119"/>
      <c r="NR31" s="120"/>
      <c r="NS31" s="119"/>
      <c r="NT31" s="119"/>
      <c r="NU31" s="120"/>
      <c r="NV31" s="120"/>
      <c r="NW31" s="119"/>
      <c r="NX31" s="119"/>
      <c r="NY31" s="120"/>
      <c r="NZ31" s="119"/>
      <c r="OA31" s="119"/>
      <c r="OB31" s="119"/>
      <c r="OC31" s="120"/>
      <c r="OD31" s="119"/>
      <c r="OE31" s="119"/>
      <c r="OF31" s="120"/>
      <c r="OG31" s="119"/>
      <c r="OH31" s="119"/>
      <c r="OI31" s="120"/>
      <c r="OJ31" s="120"/>
      <c r="OK31" s="119"/>
      <c r="OL31" s="119"/>
      <c r="OM31" s="120"/>
      <c r="ON31" s="119"/>
      <c r="OO31" s="119"/>
      <c r="OP31" s="119"/>
      <c r="OQ31" s="120"/>
      <c r="OR31" s="119"/>
      <c r="OS31" s="119"/>
      <c r="OT31" s="120"/>
      <c r="OU31" s="119"/>
      <c r="OV31" s="119"/>
      <c r="OW31" s="120"/>
      <c r="OX31" s="120"/>
      <c r="OY31" s="119"/>
      <c r="OZ31" s="119"/>
      <c r="PA31" s="120"/>
      <c r="PC31" s="120"/>
      <c r="PD31" s="120"/>
      <c r="PE31" s="272"/>
      <c r="PF31" s="120"/>
      <c r="PG31" s="121"/>
      <c r="PH31" s="121"/>
      <c r="PI31" s="121"/>
      <c r="PJ31" s="121"/>
      <c r="PK31" s="121"/>
      <c r="PL31" s="121"/>
      <c r="PM31" s="121"/>
      <c r="PN31" s="121"/>
      <c r="PO31" s="121"/>
      <c r="PP31" s="121"/>
      <c r="PQ31" s="121"/>
      <c r="PR31" s="121"/>
      <c r="PS31" s="121"/>
      <c r="PT31" s="121"/>
      <c r="PU31" s="121"/>
    </row>
    <row r="32" spans="1:437" ht="40.700000000000003" customHeight="1" x14ac:dyDescent="0.2">
      <c r="A32" s="117"/>
      <c r="B32" s="118"/>
      <c r="C32" s="118"/>
      <c r="D32" s="118"/>
      <c r="E32" s="118"/>
      <c r="F32" s="118"/>
      <c r="G32" s="118"/>
      <c r="H32" s="118"/>
      <c r="I32" s="118"/>
      <c r="J32" s="118"/>
      <c r="K32" s="118"/>
      <c r="L32" s="118"/>
      <c r="M32" s="257"/>
      <c r="N32" s="257"/>
      <c r="O32" s="257"/>
      <c r="P32" s="118"/>
      <c r="Q32" s="253" t="str">
        <f xml:space="preserve"> vbaIsZero(CalcTAR(F32, U32, J32, K32, M32,N32))</f>
        <v/>
      </c>
      <c r="R32" s="254" t="str">
        <f xml:space="preserve"> vbaIsZero(CalcTUR(F32, U32, J32, K32, P32))</f>
        <v/>
      </c>
      <c r="S32" s="117"/>
      <c r="T32" s="122"/>
      <c r="U32" s="119"/>
      <c r="V32" s="119"/>
      <c r="W32" s="123"/>
      <c r="X32" s="57" t="str">
        <f xml:space="preserve"> vbaIsError(PFAmgr(F32, U32, J32, K32,O32, $AC$1, R32, $AC$2 ))</f>
        <v/>
      </c>
      <c r="Y32" s="57" t="str">
        <f xml:space="preserve"> vbaIsError(PFRmgr(F32, U32, J32, K32,O32, $AC$1, R32, $AC$2 ))</f>
        <v/>
      </c>
      <c r="Z32" s="57" t="str">
        <f xml:space="preserve"> vbaIsError(GBMultmgr($AA$1, F32, U32, J32, K32,AA32,AB32))</f>
        <v/>
      </c>
      <c r="AA32" s="72" t="str">
        <f xml:space="preserve"> vbaIsError(ResDwn(GBLowMgr($AA$1, F32, U32, J32, K32,O32, $AA$2 ), FC32))</f>
        <v/>
      </c>
      <c r="AB32" s="72" t="str">
        <f xml:space="preserve"> vbaIsError(ResUp(GBUpMgr($AA$1, F32, U32, J32, K32,O32, $AA$2 ), FC32))</f>
        <v/>
      </c>
      <c r="AC32" s="57" t="str">
        <f xml:space="preserve"> vbaIsError(PFAWGBmgr(F32, U32, J32, K32,O32,$AA$2,AA32,AB32))</f>
        <v/>
      </c>
      <c r="AD32" s="57" t="str">
        <f xml:space="preserve"> vbaIsError(PFRWGBmgr(F32, U32, J32, K32,O32,$AA$2,AA32,AB32))</f>
        <v/>
      </c>
      <c r="AE32" s="254" t="str">
        <f xml:space="preserve"> vbaIsError(CalIntwGBMgr(F32,U32,J32,K32,O32,$AA$2,$AC$1,AA32,AB32,R32,$AC$2,$AA$3))</f>
        <v/>
      </c>
      <c r="AF32" s="260" t="str">
        <f xml:space="preserve"> vbaIsError(CalIntMgr(F32,U32,J32,K32,O32,$AA$2,$AC$1,R32,$AC$2,$AA$3,$AA$1))</f>
        <v/>
      </c>
      <c r="AG32" s="57" t="str">
        <f xml:space="preserve"> vbaIsError(CalRelMgr(F32,U32,J32,K32,O32,$AA$2,$AC$1,R32,$AC$2,$AA$3,$AA$1))</f>
        <v/>
      </c>
      <c r="AH32" s="256"/>
      <c r="AI32" s="3"/>
      <c r="AJ32" s="4"/>
      <c r="AK32" s="5"/>
      <c r="AL32" s="4"/>
      <c r="AM32" s="4"/>
      <c r="AN32" s="3"/>
      <c r="AO32" s="5"/>
      <c r="AP32" s="3"/>
      <c r="AQ32" s="4"/>
      <c r="AR32" s="5"/>
      <c r="AS32" s="4"/>
      <c r="AT32" s="4"/>
      <c r="AU32" s="3"/>
      <c r="AV32" s="5"/>
      <c r="AW32" s="3"/>
      <c r="AX32" s="4"/>
      <c r="AY32" s="5"/>
      <c r="AZ32" s="4"/>
      <c r="BA32" s="4"/>
      <c r="BB32" s="3"/>
      <c r="BC32" s="5"/>
      <c r="BD32" s="3"/>
      <c r="BE32" s="4"/>
      <c r="BF32" s="5"/>
      <c r="BG32" s="4"/>
      <c r="BH32" s="4"/>
      <c r="BI32" s="3"/>
      <c r="BJ32" s="5"/>
      <c r="BK32" s="3"/>
      <c r="BL32" s="4"/>
      <c r="BM32" s="5"/>
      <c r="BN32" s="4"/>
      <c r="BO32" s="4"/>
      <c r="BP32" s="3"/>
      <c r="BQ32" s="5"/>
      <c r="BR32" s="3"/>
      <c r="BS32" s="4"/>
      <c r="BT32" s="5"/>
      <c r="BU32" s="4"/>
      <c r="BV32" s="4"/>
      <c r="BW32" s="3"/>
      <c r="BX32" s="5"/>
      <c r="BY32" s="3"/>
      <c r="BZ32" s="4"/>
      <c r="CA32" s="5"/>
      <c r="CB32" s="4"/>
      <c r="CC32" s="4"/>
      <c r="CD32" s="3"/>
      <c r="CE32" s="5"/>
      <c r="CF32" s="3"/>
      <c r="CG32" s="4"/>
      <c r="CH32" s="5"/>
      <c r="CI32" s="4"/>
      <c r="CJ32" s="4"/>
      <c r="CK32" s="3"/>
      <c r="CL32" s="5"/>
      <c r="CM32" s="3"/>
      <c r="CN32" s="4"/>
      <c r="CO32" s="5"/>
      <c r="CP32" s="4"/>
      <c r="CQ32" s="4"/>
      <c r="CR32" s="3"/>
      <c r="CS32" s="5"/>
      <c r="CT32" s="3"/>
      <c r="CU32" s="4"/>
      <c r="CV32" s="5"/>
      <c r="CW32" s="4"/>
      <c r="CX32" s="4"/>
      <c r="CY32" s="3"/>
      <c r="CZ32" s="5"/>
      <c r="DA32" s="3"/>
      <c r="DB32" s="4"/>
      <c r="DC32" s="5"/>
      <c r="DD32" s="4"/>
      <c r="DE32" s="4"/>
      <c r="DF32" s="3"/>
      <c r="DG32" s="5"/>
      <c r="DH32" s="3"/>
      <c r="DI32" s="4"/>
      <c r="DJ32" s="5"/>
      <c r="DK32" s="4"/>
      <c r="DL32" s="4"/>
      <c r="DM32" s="3"/>
      <c r="DN32" s="5"/>
      <c r="DO32" s="3"/>
      <c r="DP32" s="4"/>
      <c r="DQ32" s="5"/>
      <c r="DR32" s="4"/>
      <c r="DS32" s="4"/>
      <c r="DT32" s="3"/>
      <c r="DU32" s="5"/>
      <c r="DV32" s="3"/>
      <c r="DW32" s="4"/>
      <c r="DX32" s="5"/>
      <c r="DY32" s="4"/>
      <c r="DZ32" s="4"/>
      <c r="EA32" s="3"/>
      <c r="EB32" s="5"/>
      <c r="EC32" s="3"/>
      <c r="ED32" s="4"/>
      <c r="EE32" s="5"/>
      <c r="EF32" s="4"/>
      <c r="EG32" s="4"/>
      <c r="EH32" s="3"/>
      <c r="EI32" s="5"/>
      <c r="EJ32" s="3"/>
      <c r="EK32" s="3"/>
      <c r="EL32" s="116"/>
      <c r="EM32" s="25"/>
      <c r="EO32" s="119"/>
      <c r="EP32" s="119"/>
      <c r="EQ32" s="119"/>
      <c r="ER32" s="120"/>
      <c r="ES32" s="119"/>
      <c r="ET32" s="119"/>
      <c r="EU32" s="120"/>
      <c r="EV32" s="119"/>
      <c r="EW32" s="119"/>
      <c r="EX32" s="120"/>
      <c r="EY32" s="120"/>
      <c r="EZ32" s="119"/>
      <c r="FA32" s="119"/>
      <c r="FB32" s="120"/>
      <c r="FC32" s="119"/>
      <c r="FD32" s="119"/>
      <c r="FE32" s="119"/>
      <c r="FF32" s="119"/>
      <c r="FG32" s="120"/>
      <c r="FH32" s="119"/>
      <c r="FI32" s="119"/>
      <c r="FJ32" s="120"/>
      <c r="FK32" s="119"/>
      <c r="FL32" s="119"/>
      <c r="FM32" s="120"/>
      <c r="FN32" s="120"/>
      <c r="FO32" s="119"/>
      <c r="FP32" s="119"/>
      <c r="FQ32" s="120"/>
      <c r="FR32" s="119"/>
      <c r="FS32" s="121"/>
      <c r="FT32" s="121"/>
      <c r="FU32" s="121"/>
      <c r="FV32" s="121"/>
      <c r="FW32" s="121"/>
      <c r="FX32" s="121"/>
      <c r="FY32" s="121"/>
      <c r="FZ32" s="121"/>
      <c r="GA32" s="121"/>
      <c r="GB32" s="121"/>
      <c r="GC32" s="121"/>
      <c r="GD32" s="121"/>
      <c r="GE32" s="121"/>
      <c r="GF32" s="121"/>
      <c r="GG32" s="121"/>
      <c r="GI32" s="121"/>
      <c r="GJ32" s="121"/>
      <c r="GK32" s="121"/>
      <c r="GL32" s="121"/>
      <c r="GM32" s="121"/>
      <c r="GN32" s="121"/>
      <c r="GO32" s="121"/>
      <c r="GP32" s="121"/>
      <c r="GQ32" s="121"/>
      <c r="GR32" s="121"/>
      <c r="GS32" s="121"/>
      <c r="GT32" s="121"/>
      <c r="GU32" s="121"/>
      <c r="GV32" s="121"/>
      <c r="GW32" s="121"/>
      <c r="GX32" s="121"/>
      <c r="GZ32" s="119"/>
      <c r="HA32" s="119"/>
      <c r="HB32" s="119"/>
      <c r="HC32" s="120"/>
      <c r="HD32" s="119"/>
      <c r="HE32" s="119"/>
      <c r="HF32" s="120"/>
      <c r="HG32" s="119"/>
      <c r="HH32" s="119"/>
      <c r="HI32" s="120"/>
      <c r="HJ32" s="120"/>
      <c r="HK32" s="119"/>
      <c r="HL32" s="119"/>
      <c r="HM32" s="120"/>
      <c r="HN32" s="119"/>
      <c r="HO32" s="119"/>
      <c r="HP32" s="119"/>
      <c r="HQ32" s="120"/>
      <c r="HR32" s="119"/>
      <c r="HS32" s="119"/>
      <c r="HT32" s="120"/>
      <c r="HU32" s="119"/>
      <c r="HV32" s="119"/>
      <c r="HW32" s="120"/>
      <c r="HX32" s="120"/>
      <c r="HY32" s="119"/>
      <c r="HZ32" s="119"/>
      <c r="IA32" s="120"/>
      <c r="IB32" s="119"/>
      <c r="IC32" s="119"/>
      <c r="ID32" s="119"/>
      <c r="IE32" s="120"/>
      <c r="IF32" s="119"/>
      <c r="IG32" s="119"/>
      <c r="IH32" s="120"/>
      <c r="II32" s="119"/>
      <c r="IJ32" s="119"/>
      <c r="IK32" s="120"/>
      <c r="IL32" s="120"/>
      <c r="IM32" s="119"/>
      <c r="IN32" s="119"/>
      <c r="IO32" s="120"/>
      <c r="IP32" s="119"/>
      <c r="IQ32" s="119"/>
      <c r="IR32" s="119"/>
      <c r="IS32" s="120"/>
      <c r="IT32" s="119"/>
      <c r="IU32" s="119"/>
      <c r="IV32" s="120"/>
      <c r="IW32" s="119"/>
      <c r="IX32" s="119"/>
      <c r="IY32" s="120"/>
      <c r="IZ32" s="120"/>
      <c r="JA32" s="119"/>
      <c r="JB32" s="119"/>
      <c r="JC32" s="120"/>
      <c r="JD32" s="119"/>
      <c r="JE32" s="119"/>
      <c r="JF32" s="119"/>
      <c r="JG32" s="120"/>
      <c r="JH32" s="119"/>
      <c r="JI32" s="119"/>
      <c r="JJ32" s="120"/>
      <c r="JK32" s="119"/>
      <c r="JL32" s="119"/>
      <c r="JM32" s="120"/>
      <c r="JN32" s="120"/>
      <c r="JO32" s="119"/>
      <c r="JP32" s="119"/>
      <c r="JQ32" s="120"/>
      <c r="JR32" s="119"/>
      <c r="JS32" s="119"/>
      <c r="JT32" s="119"/>
      <c r="JU32" s="120"/>
      <c r="JV32" s="119"/>
      <c r="JW32" s="119"/>
      <c r="JX32" s="120"/>
      <c r="JY32" s="119"/>
      <c r="JZ32" s="119"/>
      <c r="KA32" s="120"/>
      <c r="KB32" s="120"/>
      <c r="KC32" s="119"/>
      <c r="KD32" s="119"/>
      <c r="KE32" s="120"/>
      <c r="KF32" s="119"/>
      <c r="KG32" s="119"/>
      <c r="KH32" s="119"/>
      <c r="KI32" s="120"/>
      <c r="KJ32" s="119"/>
      <c r="KK32" s="119"/>
      <c r="KL32" s="120"/>
      <c r="KM32" s="119"/>
      <c r="KN32" s="119"/>
      <c r="KO32" s="120"/>
      <c r="KP32" s="120"/>
      <c r="KQ32" s="119"/>
      <c r="KR32" s="119"/>
      <c r="KS32" s="120"/>
      <c r="KT32" s="119"/>
      <c r="KU32" s="119"/>
      <c r="KV32" s="119"/>
      <c r="KW32" s="120"/>
      <c r="KX32" s="119"/>
      <c r="KY32" s="119"/>
      <c r="KZ32" s="120"/>
      <c r="LA32" s="119"/>
      <c r="LB32" s="119"/>
      <c r="LC32" s="120"/>
      <c r="LD32" s="120"/>
      <c r="LE32" s="119"/>
      <c r="LF32" s="119"/>
      <c r="LG32" s="120"/>
      <c r="LH32" s="119"/>
      <c r="LI32" s="119"/>
      <c r="LJ32" s="119"/>
      <c r="LK32" s="120"/>
      <c r="LL32" s="119"/>
      <c r="LM32" s="119"/>
      <c r="LN32" s="120"/>
      <c r="LO32" s="119"/>
      <c r="LP32" s="119"/>
      <c r="LQ32" s="120"/>
      <c r="LR32" s="120"/>
      <c r="LS32" s="119"/>
      <c r="LT32" s="119"/>
      <c r="LU32" s="120"/>
      <c r="LV32" s="119"/>
      <c r="LW32" s="119"/>
      <c r="LX32" s="119"/>
      <c r="LY32" s="120"/>
      <c r="LZ32" s="119"/>
      <c r="MA32" s="119"/>
      <c r="MB32" s="120"/>
      <c r="MC32" s="119"/>
      <c r="MD32" s="119"/>
      <c r="ME32" s="120"/>
      <c r="MF32" s="120"/>
      <c r="MG32" s="119"/>
      <c r="MH32" s="119"/>
      <c r="MI32" s="120"/>
      <c r="MJ32" s="119"/>
      <c r="MK32" s="119"/>
      <c r="ML32" s="119"/>
      <c r="MM32" s="120"/>
      <c r="MN32" s="119"/>
      <c r="MO32" s="119"/>
      <c r="MP32" s="120"/>
      <c r="MQ32" s="119"/>
      <c r="MR32" s="119"/>
      <c r="MS32" s="120"/>
      <c r="MT32" s="120"/>
      <c r="MU32" s="119"/>
      <c r="MV32" s="119"/>
      <c r="MW32" s="120"/>
      <c r="MX32" s="119"/>
      <c r="MY32" s="119"/>
      <c r="MZ32" s="119"/>
      <c r="NA32" s="120"/>
      <c r="NB32" s="119"/>
      <c r="NC32" s="119"/>
      <c r="ND32" s="120"/>
      <c r="NE32" s="119"/>
      <c r="NF32" s="119"/>
      <c r="NG32" s="120"/>
      <c r="NH32" s="120"/>
      <c r="NI32" s="119"/>
      <c r="NJ32" s="119"/>
      <c r="NK32" s="120"/>
      <c r="NL32" s="119"/>
      <c r="NM32" s="119"/>
      <c r="NN32" s="119"/>
      <c r="NO32" s="120"/>
      <c r="NP32" s="119"/>
      <c r="NQ32" s="119"/>
      <c r="NR32" s="120"/>
      <c r="NS32" s="119"/>
      <c r="NT32" s="119"/>
      <c r="NU32" s="120"/>
      <c r="NV32" s="120"/>
      <c r="NW32" s="119"/>
      <c r="NX32" s="119"/>
      <c r="NY32" s="120"/>
      <c r="NZ32" s="119"/>
      <c r="OA32" s="119"/>
      <c r="OB32" s="119"/>
      <c r="OC32" s="120"/>
      <c r="OD32" s="119"/>
      <c r="OE32" s="119"/>
      <c r="OF32" s="120"/>
      <c r="OG32" s="119"/>
      <c r="OH32" s="119"/>
      <c r="OI32" s="120"/>
      <c r="OJ32" s="120"/>
      <c r="OK32" s="119"/>
      <c r="OL32" s="119"/>
      <c r="OM32" s="120"/>
      <c r="ON32" s="119"/>
      <c r="OO32" s="119"/>
      <c r="OP32" s="119"/>
      <c r="OQ32" s="120"/>
      <c r="OR32" s="119"/>
      <c r="OS32" s="119"/>
      <c r="OT32" s="120"/>
      <c r="OU32" s="119"/>
      <c r="OV32" s="119"/>
      <c r="OW32" s="120"/>
      <c r="OX32" s="120"/>
      <c r="OY32" s="119"/>
      <c r="OZ32" s="119"/>
      <c r="PA32" s="120"/>
      <c r="PC32" s="120"/>
      <c r="PD32" s="120"/>
      <c r="PE32" s="272"/>
      <c r="PF32" s="120"/>
      <c r="PG32" s="121"/>
      <c r="PH32" s="121"/>
      <c r="PI32" s="121"/>
      <c r="PJ32" s="121"/>
      <c r="PK32" s="121"/>
      <c r="PL32" s="121"/>
      <c r="PM32" s="121"/>
      <c r="PN32" s="121"/>
      <c r="PO32" s="121"/>
      <c r="PP32" s="121"/>
      <c r="PQ32" s="121"/>
      <c r="PR32" s="121"/>
      <c r="PS32" s="121"/>
      <c r="PT32" s="121"/>
      <c r="PU32" s="121"/>
    </row>
  </sheetData>
  <sheetProtection sheet="1" objects="1" scenarios="1" formatCells="0" formatColumns="0" formatRows="0" sort="0" autoFilter="0"/>
  <mergeCells count="5">
    <mergeCell ref="C1:F1"/>
    <mergeCell ref="C2:F2"/>
    <mergeCell ref="AB2:AB3"/>
    <mergeCell ref="AC2:AC3"/>
    <mergeCell ref="C3:F3"/>
  </mergeCells>
  <pageMargins left="0.7" right="0.7" top="0.75" bottom="0.75" header="0.3" footer="0.3"/>
  <pageSetup scale="3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TstUnc_Click">
                <anchor moveWithCells="1">
                  <from>
                    <xdr:col>15</xdr:col>
                    <xdr:colOff>28575</xdr:colOff>
                    <xdr:row>3</xdr:row>
                    <xdr:rowOff>523875</xdr:rowOff>
                  </from>
                  <to>
                    <xdr:col>16</xdr:col>
                    <xdr:colOff>9525</xdr:colOff>
                    <xdr:row>3</xdr:row>
                    <xdr:rowOff>847725</xdr:rowOff>
                  </to>
                </anchor>
              </controlPr>
            </control>
          </mc:Choice>
        </mc:AlternateContent>
        <mc:AlternateContent xmlns:mc="http://schemas.openxmlformats.org/markup-compatibility/2006">
          <mc:Choice Requires="x14">
            <control shapeId="691202" r:id="rId5" name="Button 2">
              <controlPr defaultSize="0" print="0" autoFill="0" autoPict="0" macro="[0]!TstTolCALSTD_Click">
                <anchor moveWithCells="1">
                  <from>
                    <xdr:col>12</xdr:col>
                    <xdr:colOff>9525</xdr:colOff>
                    <xdr:row>3</xdr:row>
                    <xdr:rowOff>523875</xdr:rowOff>
                  </from>
                  <to>
                    <xdr:col>13</xdr:col>
                    <xdr:colOff>619125</xdr:colOff>
                    <xdr:row>3</xdr:row>
                    <xdr:rowOff>847725</xdr:rowOff>
                  </to>
                </anchor>
              </controlPr>
            </control>
          </mc:Choice>
        </mc:AlternateContent>
        <mc:AlternateContent xmlns:mc="http://schemas.openxmlformats.org/markup-compatibility/2006">
          <mc:Choice Requires="x14">
            <control shapeId="691203" r:id="rId6" name="Button 3">
              <controlPr defaultSize="0" print="0" autoFill="0" autoPict="0" macro="[0]!TstTolUUT_Click">
                <anchor moveWithCells="1">
                  <from>
                    <xdr:col>9</xdr:col>
                    <xdr:colOff>66675</xdr:colOff>
                    <xdr:row>3</xdr:row>
                    <xdr:rowOff>533400</xdr:rowOff>
                  </from>
                  <to>
                    <xdr:col>10</xdr:col>
                    <xdr:colOff>600075</xdr:colOff>
                    <xdr:row>3</xdr:row>
                    <xdr:rowOff>847725</xdr:rowOff>
                  </to>
                </anchor>
              </controlPr>
            </control>
          </mc:Choice>
        </mc:AlternateContent>
        <mc:AlternateContent xmlns:mc="http://schemas.openxmlformats.org/markup-compatibility/2006">
          <mc:Choice Requires="x14">
            <control shapeId="691204" r:id="rId7" name="Button 4">
              <controlPr defaultSize="0" print="0" autoFill="0" autoPict="0" macro="[0]!TstDelete_Click">
                <anchor moveWithCells="1">
                  <from>
                    <xdr:col>4</xdr:col>
                    <xdr:colOff>733425</xdr:colOff>
                    <xdr:row>3</xdr:row>
                    <xdr:rowOff>200025</xdr:rowOff>
                  </from>
                  <to>
                    <xdr:col>5</xdr:col>
                    <xdr:colOff>771525</xdr:colOff>
                    <xdr:row>3</xdr:row>
                    <xdr:rowOff>523875</xdr:rowOff>
                  </to>
                </anchor>
              </controlPr>
            </control>
          </mc:Choice>
        </mc:AlternateContent>
        <mc:AlternateContent xmlns:mc="http://schemas.openxmlformats.org/markup-compatibility/2006">
          <mc:Choice Requires="x14">
            <control shapeId="691205" r:id="rId8" name="Button 5">
              <controlPr defaultSize="0" print="0" autoFill="0" autoPict="0" macro="[0]!TstClear_Click">
                <anchor moveWithCells="1">
                  <from>
                    <xdr:col>4</xdr:col>
                    <xdr:colOff>733425</xdr:colOff>
                    <xdr:row>3</xdr:row>
                    <xdr:rowOff>542925</xdr:rowOff>
                  </from>
                  <to>
                    <xdr:col>5</xdr:col>
                    <xdr:colOff>771525</xdr:colOff>
                    <xdr:row>3</xdr:row>
                    <xdr:rowOff>847725</xdr:rowOff>
                  </to>
                </anchor>
              </controlPr>
            </control>
          </mc:Choice>
        </mc:AlternateContent>
        <mc:AlternateContent xmlns:mc="http://schemas.openxmlformats.org/markup-compatibility/2006">
          <mc:Choice Requires="x14">
            <control shapeId="691206" r:id="rId9" name="Button 6">
              <controlPr defaultSize="0" print="0" autoFill="0" autoPict="0" macro="[0]!TstCopy_Click">
                <anchor moveWithCells="1">
                  <from>
                    <xdr:col>2</xdr:col>
                    <xdr:colOff>333375</xdr:colOff>
                    <xdr:row>3</xdr:row>
                    <xdr:rowOff>200025</xdr:rowOff>
                  </from>
                  <to>
                    <xdr:col>3</xdr:col>
                    <xdr:colOff>371475</xdr:colOff>
                    <xdr:row>3</xdr:row>
                    <xdr:rowOff>523875</xdr:rowOff>
                  </to>
                </anchor>
              </controlPr>
            </control>
          </mc:Choice>
        </mc:AlternateContent>
        <mc:AlternateContent xmlns:mc="http://schemas.openxmlformats.org/markup-compatibility/2006">
          <mc:Choice Requires="x14">
            <control shapeId="691207" r:id="rId10" name="Button 7">
              <controlPr defaultSize="0" print="0" autoFill="0" autoPict="0" macro="[0]!TstPaste_Click">
                <anchor moveWithCells="1">
                  <from>
                    <xdr:col>2</xdr:col>
                    <xdr:colOff>333375</xdr:colOff>
                    <xdr:row>3</xdr:row>
                    <xdr:rowOff>542925</xdr:rowOff>
                  </from>
                  <to>
                    <xdr:col>3</xdr:col>
                    <xdr:colOff>371475</xdr:colOff>
                    <xdr:row>3</xdr:row>
                    <xdr:rowOff>847725</xdr:rowOff>
                  </to>
                </anchor>
              </controlPr>
            </control>
          </mc:Choice>
        </mc:AlternateContent>
        <mc:AlternateContent xmlns:mc="http://schemas.openxmlformats.org/markup-compatibility/2006">
          <mc:Choice Requires="x14">
            <control shapeId="691208" r:id="rId11" name="Button 8">
              <controlPr defaultSize="0" print="0" autoFill="0" autoPict="0" macro="[0]!TstInsAbove_click">
                <anchor moveWithCells="1">
                  <from>
                    <xdr:col>3</xdr:col>
                    <xdr:colOff>409575</xdr:colOff>
                    <xdr:row>3</xdr:row>
                    <xdr:rowOff>200025</xdr:rowOff>
                  </from>
                  <to>
                    <xdr:col>4</xdr:col>
                    <xdr:colOff>695325</xdr:colOff>
                    <xdr:row>3</xdr:row>
                    <xdr:rowOff>523875</xdr:rowOff>
                  </to>
                </anchor>
              </controlPr>
            </control>
          </mc:Choice>
        </mc:AlternateContent>
        <mc:AlternateContent xmlns:mc="http://schemas.openxmlformats.org/markup-compatibility/2006">
          <mc:Choice Requires="x14">
            <control shapeId="691209" r:id="rId12" name="Button 9">
              <controlPr defaultSize="0" print="0" autoFill="0" autoPict="0" macro="[0]!TstInsBelow_click">
                <anchor moveWithCells="1">
                  <from>
                    <xdr:col>3</xdr:col>
                    <xdr:colOff>409575</xdr:colOff>
                    <xdr:row>3</xdr:row>
                    <xdr:rowOff>542925</xdr:rowOff>
                  </from>
                  <to>
                    <xdr:col>4</xdr:col>
                    <xdr:colOff>695325</xdr:colOff>
                    <xdr:row>3</xdr:row>
                    <xdr:rowOff>847725</xdr:rowOff>
                  </to>
                </anchor>
              </controlPr>
            </control>
          </mc:Choice>
        </mc:AlternateContent>
        <mc:AlternateContent xmlns:mc="http://schemas.openxmlformats.org/markup-compatibility/2006">
          <mc:Choice Requires="x14">
            <control shapeId="691210" r:id="rId13" name="Button 10">
              <controlPr defaultSize="0" print="0" autoFill="0" autoPict="0" macro="[0]!TstUpdate_Click">
                <anchor moveWithCells="1">
                  <from>
                    <xdr:col>1</xdr:col>
                    <xdr:colOff>9525</xdr:colOff>
                    <xdr:row>3</xdr:row>
                    <xdr:rowOff>533400</xdr:rowOff>
                  </from>
                  <to>
                    <xdr:col>2</xdr:col>
                    <xdr:colOff>257175</xdr:colOff>
                    <xdr:row>3</xdr:row>
                    <xdr:rowOff>847725</xdr:rowOff>
                  </to>
                </anchor>
              </controlPr>
            </control>
          </mc:Choice>
        </mc:AlternateContent>
        <mc:AlternateContent xmlns:mc="http://schemas.openxmlformats.org/markup-compatibility/2006">
          <mc:Choice Requires="x14">
            <control shapeId="691211" r:id="rId14" name="Button 11">
              <controlPr defaultSize="0" print="0" autoFill="0" autoPict="0" macro="[0]!TstEq_Click">
                <anchor moveWithCells="1">
                  <from>
                    <xdr:col>0</xdr:col>
                    <xdr:colOff>85725</xdr:colOff>
                    <xdr:row>4</xdr:row>
                    <xdr:rowOff>9525</xdr:rowOff>
                  </from>
                  <to>
                    <xdr:col>0</xdr:col>
                    <xdr:colOff>885825</xdr:colOff>
                    <xdr:row>4</xdr:row>
                    <xdr:rowOff>257175</xdr:rowOff>
                  </to>
                </anchor>
              </controlPr>
            </control>
          </mc:Choice>
        </mc:AlternateContent>
        <mc:AlternateContent xmlns:mc="http://schemas.openxmlformats.org/markup-compatibility/2006">
          <mc:Choice Requires="x14">
            <control shapeId="691212" r:id="rId15" name="Button 12">
              <controlPr defaultSize="0" print="0" autoFill="0" autoPict="0" macro="[0]!TstRisk_Click">
                <anchor moveWithCells="1">
                  <from>
                    <xdr:col>0</xdr:col>
                    <xdr:colOff>85725</xdr:colOff>
                    <xdr:row>4</xdr:row>
                    <xdr:rowOff>276225</xdr:rowOff>
                  </from>
                  <to>
                    <xdr:col>0</xdr:col>
                    <xdr:colOff>885825</xdr:colOff>
                    <xdr:row>4</xdr:row>
                    <xdr:rowOff>523875</xdr:rowOff>
                  </to>
                </anchor>
              </controlPr>
            </control>
          </mc:Choice>
        </mc:AlternateContent>
        <mc:AlternateContent xmlns:mc="http://schemas.openxmlformats.org/markup-compatibility/2006">
          <mc:Choice Requires="x14">
            <control shapeId="691213" r:id="rId16" name="Button 13">
              <controlPr defaultSize="0" print="0" autoFill="0" autoPict="0" macro="[0]!TstTol_Click">
                <anchor moveWithCells="1">
                  <from>
                    <xdr:col>0</xdr:col>
                    <xdr:colOff>85725</xdr:colOff>
                    <xdr:row>3</xdr:row>
                    <xdr:rowOff>638175</xdr:rowOff>
                  </from>
                  <to>
                    <xdr:col>0</xdr:col>
                    <xdr:colOff>885825</xdr:colOff>
                    <xdr:row>3</xdr:row>
                    <xdr:rowOff>866775</xdr:rowOff>
                  </to>
                </anchor>
              </controlPr>
            </control>
          </mc:Choice>
        </mc:AlternateContent>
        <mc:AlternateContent xmlns:mc="http://schemas.openxmlformats.org/markup-compatibility/2006">
          <mc:Choice Requires="x14">
            <control shapeId="691214" r:id="rId17" name="Button 14">
              <controlPr defaultSize="0" print="0" autoFill="0" autoPict="0" macro="[0]!TstICP_Click">
                <anchor moveWithCells="1">
                  <from>
                    <xdr:col>0</xdr:col>
                    <xdr:colOff>85725</xdr:colOff>
                    <xdr:row>3</xdr:row>
                    <xdr:rowOff>352425</xdr:rowOff>
                  </from>
                  <to>
                    <xdr:col>0</xdr:col>
                    <xdr:colOff>885825</xdr:colOff>
                    <xdr:row>3</xdr:row>
                    <xdr:rowOff>600075</xdr:rowOff>
                  </to>
                </anchor>
              </controlPr>
            </control>
          </mc:Choice>
        </mc:AlternateContent>
        <mc:AlternateContent xmlns:mc="http://schemas.openxmlformats.org/markup-compatibility/2006">
          <mc:Choice Requires="x14">
            <control shapeId="691215" r:id="rId18" name="Button 15">
              <controlPr defaultSize="0" print="0" autoFill="0" autoPict="0" macro="[0]!TstUnc2_Click">
                <anchor moveWithCells="1">
                  <from>
                    <xdr:col>19</xdr:col>
                    <xdr:colOff>2981325</xdr:colOff>
                    <xdr:row>3</xdr:row>
                    <xdr:rowOff>523875</xdr:rowOff>
                  </from>
                  <to>
                    <xdr:col>21</xdr:col>
                    <xdr:colOff>76200</xdr:colOff>
                    <xdr:row>3</xdr:row>
                    <xdr:rowOff>847725</xdr:rowOff>
                  </to>
                </anchor>
              </controlPr>
            </control>
          </mc:Choice>
        </mc:AlternateContent>
        <mc:AlternateContent xmlns:mc="http://schemas.openxmlformats.org/markup-compatibility/2006">
          <mc:Choice Requires="x14">
            <control shapeId="691216" r:id="rId19" name="Button 16">
              <controlPr defaultSize="0" print="0" autoFill="0" autoPict="0" macro="[0]!TstGB_Click">
                <anchor moveWithCells="1">
                  <from>
                    <xdr:col>23</xdr:col>
                    <xdr:colOff>28575</xdr:colOff>
                    <xdr:row>3</xdr:row>
                    <xdr:rowOff>523875</xdr:rowOff>
                  </from>
                  <to>
                    <xdr:col>24</xdr:col>
                    <xdr:colOff>314325</xdr:colOff>
                    <xdr:row>3</xdr:row>
                    <xdr:rowOff>847725</xdr:rowOff>
                  </to>
                </anchor>
              </controlPr>
            </control>
          </mc:Choice>
        </mc:AlternateContent>
        <mc:AlternateContent xmlns:mc="http://schemas.openxmlformats.org/markup-compatibility/2006">
          <mc:Choice Requires="x14">
            <control shapeId="691217" r:id="rId20" name="Button 17">
              <controlPr defaultSize="0" print="0" autoFill="0" autoPict="0" macro="[0]!TstEqTolUUT_Click">
                <anchor moveWithCells="1">
                  <from>
                    <xdr:col>9</xdr:col>
                    <xdr:colOff>66675</xdr:colOff>
                    <xdr:row>3</xdr:row>
                    <xdr:rowOff>85725</xdr:rowOff>
                  </from>
                  <to>
                    <xdr:col>10</xdr:col>
                    <xdr:colOff>600075</xdr:colOff>
                    <xdr:row>3</xdr:row>
                    <xdr:rowOff>495300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qTolerance">
    <pageSetUpPr fitToPage="1"/>
  </sheetPr>
  <dimension ref="A1:AZ42"/>
  <sheetViews>
    <sheetView showGridLines="0" zoomScaleNormal="100" workbookViewId="0">
      <pane xSplit="1" topLeftCell="B1" activePane="topRight" state="frozen"/>
      <selection pane="topRight" activeCell="C17" sqref="C17"/>
    </sheetView>
  </sheetViews>
  <sheetFormatPr defaultColWidth="9.140625" defaultRowHeight="12.75" x14ac:dyDescent="0.2"/>
  <cols>
    <col min="1" max="1" width="15.85546875" style="6" customWidth="1"/>
    <col min="2" max="2" width="3" style="6" customWidth="1"/>
    <col min="3" max="3" width="34.85546875" style="6" customWidth="1"/>
    <col min="4" max="4" width="22.42578125" style="6" customWidth="1"/>
    <col min="5" max="6" width="21.5703125" style="6" customWidth="1"/>
    <col min="7" max="7" width="20" style="6" customWidth="1"/>
    <col min="8" max="8" width="20.42578125" style="6" customWidth="1"/>
    <col min="9" max="9" width="60.85546875" style="6" customWidth="1"/>
    <col min="10" max="10" width="9.140625" style="64" hidden="1" customWidth="1"/>
    <col min="11" max="11" width="9.5703125" style="64" hidden="1" customWidth="1"/>
    <col min="12" max="12" width="12.42578125" style="64" hidden="1" customWidth="1"/>
    <col min="13" max="13" width="10.42578125" style="64" hidden="1" customWidth="1"/>
    <col min="14" max="26" width="9.140625" style="64" hidden="1" customWidth="1"/>
    <col min="27" max="27" width="9.140625" style="6" hidden="1" customWidth="1"/>
    <col min="28" max="28" width="4.42578125" style="6" hidden="1" customWidth="1"/>
    <col min="29" max="29" width="29.85546875" style="64" hidden="1" customWidth="1"/>
    <col min="30" max="30" width="1.5703125" style="6" customWidth="1"/>
    <col min="31" max="31" width="34.85546875" style="6" customWidth="1"/>
    <col min="32" max="32" width="9.140625" style="6"/>
    <col min="33" max="47" width="7.85546875" style="6" customWidth="1"/>
    <col min="48" max="48" width="38.42578125" style="6" customWidth="1"/>
    <col min="49" max="49" width="9.140625" style="6" customWidth="1"/>
    <col min="50" max="268" width="9.140625" style="6"/>
    <col min="269" max="269" width="3" style="6" customWidth="1"/>
    <col min="270" max="270" width="38.5703125" style="6" customWidth="1"/>
    <col min="271" max="271" width="22.42578125" style="6" customWidth="1"/>
    <col min="272" max="272" width="16.42578125" style="6" customWidth="1"/>
    <col min="273" max="273" width="20" style="6" customWidth="1"/>
    <col min="274" max="274" width="20.42578125" style="6" customWidth="1"/>
    <col min="275" max="275" width="9.140625" style="6"/>
    <col min="276" max="289" width="0" style="6" hidden="1" customWidth="1"/>
    <col min="290" max="524" width="9.140625" style="6"/>
    <col min="525" max="525" width="3" style="6" customWidth="1"/>
    <col min="526" max="526" width="38.5703125" style="6" customWidth="1"/>
    <col min="527" max="527" width="22.42578125" style="6" customWidth="1"/>
    <col min="528" max="528" width="16.42578125" style="6" customWidth="1"/>
    <col min="529" max="529" width="20" style="6" customWidth="1"/>
    <col min="530" max="530" width="20.42578125" style="6" customWidth="1"/>
    <col min="531" max="531" width="9.140625" style="6"/>
    <col min="532" max="545" width="0" style="6" hidden="1" customWidth="1"/>
    <col min="546" max="780" width="9.140625" style="6"/>
    <col min="781" max="781" width="3" style="6" customWidth="1"/>
    <col min="782" max="782" width="38.5703125" style="6" customWidth="1"/>
    <col min="783" max="783" width="22.42578125" style="6" customWidth="1"/>
    <col min="784" max="784" width="16.42578125" style="6" customWidth="1"/>
    <col min="785" max="785" width="20" style="6" customWidth="1"/>
    <col min="786" max="786" width="20.42578125" style="6" customWidth="1"/>
    <col min="787" max="787" width="9.140625" style="6"/>
    <col min="788" max="801" width="0" style="6" hidden="1" customWidth="1"/>
    <col min="802" max="1036" width="9.140625" style="6"/>
    <col min="1037" max="1037" width="3" style="6" customWidth="1"/>
    <col min="1038" max="1038" width="38.5703125" style="6" customWidth="1"/>
    <col min="1039" max="1039" width="22.42578125" style="6" customWidth="1"/>
    <col min="1040" max="1040" width="16.42578125" style="6" customWidth="1"/>
    <col min="1041" max="1041" width="20" style="6" customWidth="1"/>
    <col min="1042" max="1042" width="20.42578125" style="6" customWidth="1"/>
    <col min="1043" max="1043" width="9.140625" style="6"/>
    <col min="1044" max="1057" width="0" style="6" hidden="1" customWidth="1"/>
    <col min="1058" max="1292" width="9.140625" style="6"/>
    <col min="1293" max="1293" width="3" style="6" customWidth="1"/>
    <col min="1294" max="1294" width="38.5703125" style="6" customWidth="1"/>
    <col min="1295" max="1295" width="22.42578125" style="6" customWidth="1"/>
    <col min="1296" max="1296" width="16.42578125" style="6" customWidth="1"/>
    <col min="1297" max="1297" width="20" style="6" customWidth="1"/>
    <col min="1298" max="1298" width="20.42578125" style="6" customWidth="1"/>
    <col min="1299" max="1299" width="9.140625" style="6"/>
    <col min="1300" max="1313" width="0" style="6" hidden="1" customWidth="1"/>
    <col min="1314" max="1548" width="9.140625" style="6"/>
    <col min="1549" max="1549" width="3" style="6" customWidth="1"/>
    <col min="1550" max="1550" width="38.5703125" style="6" customWidth="1"/>
    <col min="1551" max="1551" width="22.42578125" style="6" customWidth="1"/>
    <col min="1552" max="1552" width="16.42578125" style="6" customWidth="1"/>
    <col min="1553" max="1553" width="20" style="6" customWidth="1"/>
    <col min="1554" max="1554" width="20.42578125" style="6" customWidth="1"/>
    <col min="1555" max="1555" width="9.140625" style="6"/>
    <col min="1556" max="1569" width="0" style="6" hidden="1" customWidth="1"/>
    <col min="1570" max="1804" width="9.140625" style="6"/>
    <col min="1805" max="1805" width="3" style="6" customWidth="1"/>
    <col min="1806" max="1806" width="38.5703125" style="6" customWidth="1"/>
    <col min="1807" max="1807" width="22.42578125" style="6" customWidth="1"/>
    <col min="1808" max="1808" width="16.42578125" style="6" customWidth="1"/>
    <col min="1809" max="1809" width="20" style="6" customWidth="1"/>
    <col min="1810" max="1810" width="20.42578125" style="6" customWidth="1"/>
    <col min="1811" max="1811" width="9.140625" style="6"/>
    <col min="1812" max="1825" width="0" style="6" hidden="1" customWidth="1"/>
    <col min="1826" max="2060" width="9.140625" style="6"/>
    <col min="2061" max="2061" width="3" style="6" customWidth="1"/>
    <col min="2062" max="2062" width="38.5703125" style="6" customWidth="1"/>
    <col min="2063" max="2063" width="22.42578125" style="6" customWidth="1"/>
    <col min="2064" max="2064" width="16.42578125" style="6" customWidth="1"/>
    <col min="2065" max="2065" width="20" style="6" customWidth="1"/>
    <col min="2066" max="2066" width="20.42578125" style="6" customWidth="1"/>
    <col min="2067" max="2067" width="9.140625" style="6"/>
    <col min="2068" max="2081" width="0" style="6" hidden="1" customWidth="1"/>
    <col min="2082" max="2316" width="9.140625" style="6"/>
    <col min="2317" max="2317" width="3" style="6" customWidth="1"/>
    <col min="2318" max="2318" width="38.5703125" style="6" customWidth="1"/>
    <col min="2319" max="2319" width="22.42578125" style="6" customWidth="1"/>
    <col min="2320" max="2320" width="16.42578125" style="6" customWidth="1"/>
    <col min="2321" max="2321" width="20" style="6" customWidth="1"/>
    <col min="2322" max="2322" width="20.42578125" style="6" customWidth="1"/>
    <col min="2323" max="2323" width="9.140625" style="6"/>
    <col min="2324" max="2337" width="0" style="6" hidden="1" customWidth="1"/>
    <col min="2338" max="2572" width="9.140625" style="6"/>
    <col min="2573" max="2573" width="3" style="6" customWidth="1"/>
    <col min="2574" max="2574" width="38.5703125" style="6" customWidth="1"/>
    <col min="2575" max="2575" width="22.42578125" style="6" customWidth="1"/>
    <col min="2576" max="2576" width="16.42578125" style="6" customWidth="1"/>
    <col min="2577" max="2577" width="20" style="6" customWidth="1"/>
    <col min="2578" max="2578" width="20.42578125" style="6" customWidth="1"/>
    <col min="2579" max="2579" width="9.140625" style="6"/>
    <col min="2580" max="2593" width="0" style="6" hidden="1" customWidth="1"/>
    <col min="2594" max="2828" width="9.140625" style="6"/>
    <col min="2829" max="2829" width="3" style="6" customWidth="1"/>
    <col min="2830" max="2830" width="38.5703125" style="6" customWidth="1"/>
    <col min="2831" max="2831" width="22.42578125" style="6" customWidth="1"/>
    <col min="2832" max="2832" width="16.42578125" style="6" customWidth="1"/>
    <col min="2833" max="2833" width="20" style="6" customWidth="1"/>
    <col min="2834" max="2834" width="20.42578125" style="6" customWidth="1"/>
    <col min="2835" max="2835" width="9.140625" style="6"/>
    <col min="2836" max="2849" width="0" style="6" hidden="1" customWidth="1"/>
    <col min="2850" max="3084" width="9.140625" style="6"/>
    <col min="3085" max="3085" width="3" style="6" customWidth="1"/>
    <col min="3086" max="3086" width="38.5703125" style="6" customWidth="1"/>
    <col min="3087" max="3087" width="22.42578125" style="6" customWidth="1"/>
    <col min="3088" max="3088" width="16.42578125" style="6" customWidth="1"/>
    <col min="3089" max="3089" width="20" style="6" customWidth="1"/>
    <col min="3090" max="3090" width="20.42578125" style="6" customWidth="1"/>
    <col min="3091" max="3091" width="9.140625" style="6"/>
    <col min="3092" max="3105" width="0" style="6" hidden="1" customWidth="1"/>
    <col min="3106" max="3340" width="9.140625" style="6"/>
    <col min="3341" max="3341" width="3" style="6" customWidth="1"/>
    <col min="3342" max="3342" width="38.5703125" style="6" customWidth="1"/>
    <col min="3343" max="3343" width="22.42578125" style="6" customWidth="1"/>
    <col min="3344" max="3344" width="16.42578125" style="6" customWidth="1"/>
    <col min="3345" max="3345" width="20" style="6" customWidth="1"/>
    <col min="3346" max="3346" width="20.42578125" style="6" customWidth="1"/>
    <col min="3347" max="3347" width="9.140625" style="6"/>
    <col min="3348" max="3361" width="0" style="6" hidden="1" customWidth="1"/>
    <col min="3362" max="3596" width="9.140625" style="6"/>
    <col min="3597" max="3597" width="3" style="6" customWidth="1"/>
    <col min="3598" max="3598" width="38.5703125" style="6" customWidth="1"/>
    <col min="3599" max="3599" width="22.42578125" style="6" customWidth="1"/>
    <col min="3600" max="3600" width="16.42578125" style="6" customWidth="1"/>
    <col min="3601" max="3601" width="20" style="6" customWidth="1"/>
    <col min="3602" max="3602" width="20.42578125" style="6" customWidth="1"/>
    <col min="3603" max="3603" width="9.140625" style="6"/>
    <col min="3604" max="3617" width="0" style="6" hidden="1" customWidth="1"/>
    <col min="3618" max="3852" width="9.140625" style="6"/>
    <col min="3853" max="3853" width="3" style="6" customWidth="1"/>
    <col min="3854" max="3854" width="38.5703125" style="6" customWidth="1"/>
    <col min="3855" max="3855" width="22.42578125" style="6" customWidth="1"/>
    <col min="3856" max="3856" width="16.42578125" style="6" customWidth="1"/>
    <col min="3857" max="3857" width="20" style="6" customWidth="1"/>
    <col min="3858" max="3858" width="20.42578125" style="6" customWidth="1"/>
    <col min="3859" max="3859" width="9.140625" style="6"/>
    <col min="3860" max="3873" width="0" style="6" hidden="1" customWidth="1"/>
    <col min="3874" max="4108" width="9.140625" style="6"/>
    <col min="4109" max="4109" width="3" style="6" customWidth="1"/>
    <col min="4110" max="4110" width="38.5703125" style="6" customWidth="1"/>
    <col min="4111" max="4111" width="22.42578125" style="6" customWidth="1"/>
    <col min="4112" max="4112" width="16.42578125" style="6" customWidth="1"/>
    <col min="4113" max="4113" width="20" style="6" customWidth="1"/>
    <col min="4114" max="4114" width="20.42578125" style="6" customWidth="1"/>
    <col min="4115" max="4115" width="9.140625" style="6"/>
    <col min="4116" max="4129" width="0" style="6" hidden="1" customWidth="1"/>
    <col min="4130" max="4364" width="9.140625" style="6"/>
    <col min="4365" max="4365" width="3" style="6" customWidth="1"/>
    <col min="4366" max="4366" width="38.5703125" style="6" customWidth="1"/>
    <col min="4367" max="4367" width="22.42578125" style="6" customWidth="1"/>
    <col min="4368" max="4368" width="16.42578125" style="6" customWidth="1"/>
    <col min="4369" max="4369" width="20" style="6" customWidth="1"/>
    <col min="4370" max="4370" width="20.42578125" style="6" customWidth="1"/>
    <col min="4371" max="4371" width="9.140625" style="6"/>
    <col min="4372" max="4385" width="0" style="6" hidden="1" customWidth="1"/>
    <col min="4386" max="4620" width="9.140625" style="6"/>
    <col min="4621" max="4621" width="3" style="6" customWidth="1"/>
    <col min="4622" max="4622" width="38.5703125" style="6" customWidth="1"/>
    <col min="4623" max="4623" width="22.42578125" style="6" customWidth="1"/>
    <col min="4624" max="4624" width="16.42578125" style="6" customWidth="1"/>
    <col min="4625" max="4625" width="20" style="6" customWidth="1"/>
    <col min="4626" max="4626" width="20.42578125" style="6" customWidth="1"/>
    <col min="4627" max="4627" width="9.140625" style="6"/>
    <col min="4628" max="4641" width="0" style="6" hidden="1" customWidth="1"/>
    <col min="4642" max="4876" width="9.140625" style="6"/>
    <col min="4877" max="4877" width="3" style="6" customWidth="1"/>
    <col min="4878" max="4878" width="38.5703125" style="6" customWidth="1"/>
    <col min="4879" max="4879" width="22.42578125" style="6" customWidth="1"/>
    <col min="4880" max="4880" width="16.42578125" style="6" customWidth="1"/>
    <col min="4881" max="4881" width="20" style="6" customWidth="1"/>
    <col min="4882" max="4882" width="20.42578125" style="6" customWidth="1"/>
    <col min="4883" max="4883" width="9.140625" style="6"/>
    <col min="4884" max="4897" width="0" style="6" hidden="1" customWidth="1"/>
    <col min="4898" max="5132" width="9.140625" style="6"/>
    <col min="5133" max="5133" width="3" style="6" customWidth="1"/>
    <col min="5134" max="5134" width="38.5703125" style="6" customWidth="1"/>
    <col min="5135" max="5135" width="22.42578125" style="6" customWidth="1"/>
    <col min="5136" max="5136" width="16.42578125" style="6" customWidth="1"/>
    <col min="5137" max="5137" width="20" style="6" customWidth="1"/>
    <col min="5138" max="5138" width="20.42578125" style="6" customWidth="1"/>
    <col min="5139" max="5139" width="9.140625" style="6"/>
    <col min="5140" max="5153" width="0" style="6" hidden="1" customWidth="1"/>
    <col min="5154" max="5388" width="9.140625" style="6"/>
    <col min="5389" max="5389" width="3" style="6" customWidth="1"/>
    <col min="5390" max="5390" width="38.5703125" style="6" customWidth="1"/>
    <col min="5391" max="5391" width="22.42578125" style="6" customWidth="1"/>
    <col min="5392" max="5392" width="16.42578125" style="6" customWidth="1"/>
    <col min="5393" max="5393" width="20" style="6" customWidth="1"/>
    <col min="5394" max="5394" width="20.42578125" style="6" customWidth="1"/>
    <col min="5395" max="5395" width="9.140625" style="6"/>
    <col min="5396" max="5409" width="0" style="6" hidden="1" customWidth="1"/>
    <col min="5410" max="5644" width="9.140625" style="6"/>
    <col min="5645" max="5645" width="3" style="6" customWidth="1"/>
    <col min="5646" max="5646" width="38.5703125" style="6" customWidth="1"/>
    <col min="5647" max="5647" width="22.42578125" style="6" customWidth="1"/>
    <col min="5648" max="5648" width="16.42578125" style="6" customWidth="1"/>
    <col min="5649" max="5649" width="20" style="6" customWidth="1"/>
    <col min="5650" max="5650" width="20.42578125" style="6" customWidth="1"/>
    <col min="5651" max="5651" width="9.140625" style="6"/>
    <col min="5652" max="5665" width="0" style="6" hidden="1" customWidth="1"/>
    <col min="5666" max="5900" width="9.140625" style="6"/>
    <col min="5901" max="5901" width="3" style="6" customWidth="1"/>
    <col min="5902" max="5902" width="38.5703125" style="6" customWidth="1"/>
    <col min="5903" max="5903" width="22.42578125" style="6" customWidth="1"/>
    <col min="5904" max="5904" width="16.42578125" style="6" customWidth="1"/>
    <col min="5905" max="5905" width="20" style="6" customWidth="1"/>
    <col min="5906" max="5906" width="20.42578125" style="6" customWidth="1"/>
    <col min="5907" max="5907" width="9.140625" style="6"/>
    <col min="5908" max="5921" width="0" style="6" hidden="1" customWidth="1"/>
    <col min="5922" max="6156" width="9.140625" style="6"/>
    <col min="6157" max="6157" width="3" style="6" customWidth="1"/>
    <col min="6158" max="6158" width="38.5703125" style="6" customWidth="1"/>
    <col min="6159" max="6159" width="22.42578125" style="6" customWidth="1"/>
    <col min="6160" max="6160" width="16.42578125" style="6" customWidth="1"/>
    <col min="6161" max="6161" width="20" style="6" customWidth="1"/>
    <col min="6162" max="6162" width="20.42578125" style="6" customWidth="1"/>
    <col min="6163" max="6163" width="9.140625" style="6"/>
    <col min="6164" max="6177" width="0" style="6" hidden="1" customWidth="1"/>
    <col min="6178" max="6412" width="9.140625" style="6"/>
    <col min="6413" max="6413" width="3" style="6" customWidth="1"/>
    <col min="6414" max="6414" width="38.5703125" style="6" customWidth="1"/>
    <col min="6415" max="6415" width="22.42578125" style="6" customWidth="1"/>
    <col min="6416" max="6416" width="16.42578125" style="6" customWidth="1"/>
    <col min="6417" max="6417" width="20" style="6" customWidth="1"/>
    <col min="6418" max="6418" width="20.42578125" style="6" customWidth="1"/>
    <col min="6419" max="6419" width="9.140625" style="6"/>
    <col min="6420" max="6433" width="0" style="6" hidden="1" customWidth="1"/>
    <col min="6434" max="6668" width="9.140625" style="6"/>
    <col min="6669" max="6669" width="3" style="6" customWidth="1"/>
    <col min="6670" max="6670" width="38.5703125" style="6" customWidth="1"/>
    <col min="6671" max="6671" width="22.42578125" style="6" customWidth="1"/>
    <col min="6672" max="6672" width="16.42578125" style="6" customWidth="1"/>
    <col min="6673" max="6673" width="20" style="6" customWidth="1"/>
    <col min="6674" max="6674" width="20.42578125" style="6" customWidth="1"/>
    <col min="6675" max="6675" width="9.140625" style="6"/>
    <col min="6676" max="6689" width="0" style="6" hidden="1" customWidth="1"/>
    <col min="6690" max="6924" width="9.140625" style="6"/>
    <col min="6925" max="6925" width="3" style="6" customWidth="1"/>
    <col min="6926" max="6926" width="38.5703125" style="6" customWidth="1"/>
    <col min="6927" max="6927" width="22.42578125" style="6" customWidth="1"/>
    <col min="6928" max="6928" width="16.42578125" style="6" customWidth="1"/>
    <col min="6929" max="6929" width="20" style="6" customWidth="1"/>
    <col min="6930" max="6930" width="20.42578125" style="6" customWidth="1"/>
    <col min="6931" max="6931" width="9.140625" style="6"/>
    <col min="6932" max="6945" width="0" style="6" hidden="1" customWidth="1"/>
    <col min="6946" max="7180" width="9.140625" style="6"/>
    <col min="7181" max="7181" width="3" style="6" customWidth="1"/>
    <col min="7182" max="7182" width="38.5703125" style="6" customWidth="1"/>
    <col min="7183" max="7183" width="22.42578125" style="6" customWidth="1"/>
    <col min="7184" max="7184" width="16.42578125" style="6" customWidth="1"/>
    <col min="7185" max="7185" width="20" style="6" customWidth="1"/>
    <col min="7186" max="7186" width="20.42578125" style="6" customWidth="1"/>
    <col min="7187" max="7187" width="9.140625" style="6"/>
    <col min="7188" max="7201" width="0" style="6" hidden="1" customWidth="1"/>
    <col min="7202" max="7436" width="9.140625" style="6"/>
    <col min="7437" max="7437" width="3" style="6" customWidth="1"/>
    <col min="7438" max="7438" width="38.5703125" style="6" customWidth="1"/>
    <col min="7439" max="7439" width="22.42578125" style="6" customWidth="1"/>
    <col min="7440" max="7440" width="16.42578125" style="6" customWidth="1"/>
    <col min="7441" max="7441" width="20" style="6" customWidth="1"/>
    <col min="7442" max="7442" width="20.42578125" style="6" customWidth="1"/>
    <col min="7443" max="7443" width="9.140625" style="6"/>
    <col min="7444" max="7457" width="0" style="6" hidden="1" customWidth="1"/>
    <col min="7458" max="7692" width="9.140625" style="6"/>
    <col min="7693" max="7693" width="3" style="6" customWidth="1"/>
    <col min="7694" max="7694" width="38.5703125" style="6" customWidth="1"/>
    <col min="7695" max="7695" width="22.42578125" style="6" customWidth="1"/>
    <col min="7696" max="7696" width="16.42578125" style="6" customWidth="1"/>
    <col min="7697" max="7697" width="20" style="6" customWidth="1"/>
    <col min="7698" max="7698" width="20.42578125" style="6" customWidth="1"/>
    <col min="7699" max="7699" width="9.140625" style="6"/>
    <col min="7700" max="7713" width="0" style="6" hidden="1" customWidth="1"/>
    <col min="7714" max="7948" width="9.140625" style="6"/>
    <col min="7949" max="7949" width="3" style="6" customWidth="1"/>
    <col min="7950" max="7950" width="38.5703125" style="6" customWidth="1"/>
    <col min="7951" max="7951" width="22.42578125" style="6" customWidth="1"/>
    <col min="7952" max="7952" width="16.42578125" style="6" customWidth="1"/>
    <col min="7953" max="7953" width="20" style="6" customWidth="1"/>
    <col min="7954" max="7954" width="20.42578125" style="6" customWidth="1"/>
    <col min="7955" max="7955" width="9.140625" style="6"/>
    <col min="7956" max="7969" width="0" style="6" hidden="1" customWidth="1"/>
    <col min="7970" max="8204" width="9.140625" style="6"/>
    <col min="8205" max="8205" width="3" style="6" customWidth="1"/>
    <col min="8206" max="8206" width="38.5703125" style="6" customWidth="1"/>
    <col min="8207" max="8207" width="22.42578125" style="6" customWidth="1"/>
    <col min="8208" max="8208" width="16.42578125" style="6" customWidth="1"/>
    <col min="8209" max="8209" width="20" style="6" customWidth="1"/>
    <col min="8210" max="8210" width="20.42578125" style="6" customWidth="1"/>
    <col min="8211" max="8211" width="9.140625" style="6"/>
    <col min="8212" max="8225" width="0" style="6" hidden="1" customWidth="1"/>
    <col min="8226" max="8460" width="9.140625" style="6"/>
    <col min="8461" max="8461" width="3" style="6" customWidth="1"/>
    <col min="8462" max="8462" width="38.5703125" style="6" customWidth="1"/>
    <col min="8463" max="8463" width="22.42578125" style="6" customWidth="1"/>
    <col min="8464" max="8464" width="16.42578125" style="6" customWidth="1"/>
    <col min="8465" max="8465" width="20" style="6" customWidth="1"/>
    <col min="8466" max="8466" width="20.42578125" style="6" customWidth="1"/>
    <col min="8467" max="8467" width="9.140625" style="6"/>
    <col min="8468" max="8481" width="0" style="6" hidden="1" customWidth="1"/>
    <col min="8482" max="8716" width="9.140625" style="6"/>
    <col min="8717" max="8717" width="3" style="6" customWidth="1"/>
    <col min="8718" max="8718" width="38.5703125" style="6" customWidth="1"/>
    <col min="8719" max="8719" width="22.42578125" style="6" customWidth="1"/>
    <col min="8720" max="8720" width="16.42578125" style="6" customWidth="1"/>
    <col min="8721" max="8721" width="20" style="6" customWidth="1"/>
    <col min="8722" max="8722" width="20.42578125" style="6" customWidth="1"/>
    <col min="8723" max="8723" width="9.140625" style="6"/>
    <col min="8724" max="8737" width="0" style="6" hidden="1" customWidth="1"/>
    <col min="8738" max="8972" width="9.140625" style="6"/>
    <col min="8973" max="8973" width="3" style="6" customWidth="1"/>
    <col min="8974" max="8974" width="38.5703125" style="6" customWidth="1"/>
    <col min="8975" max="8975" width="22.42578125" style="6" customWidth="1"/>
    <col min="8976" max="8976" width="16.42578125" style="6" customWidth="1"/>
    <col min="8977" max="8977" width="20" style="6" customWidth="1"/>
    <col min="8978" max="8978" width="20.42578125" style="6" customWidth="1"/>
    <col min="8979" max="8979" width="9.140625" style="6"/>
    <col min="8980" max="8993" width="0" style="6" hidden="1" customWidth="1"/>
    <col min="8994" max="9228" width="9.140625" style="6"/>
    <col min="9229" max="9229" width="3" style="6" customWidth="1"/>
    <col min="9230" max="9230" width="38.5703125" style="6" customWidth="1"/>
    <col min="9231" max="9231" width="22.42578125" style="6" customWidth="1"/>
    <col min="9232" max="9232" width="16.42578125" style="6" customWidth="1"/>
    <col min="9233" max="9233" width="20" style="6" customWidth="1"/>
    <col min="9234" max="9234" width="20.42578125" style="6" customWidth="1"/>
    <col min="9235" max="9235" width="9.140625" style="6"/>
    <col min="9236" max="9249" width="0" style="6" hidden="1" customWidth="1"/>
    <col min="9250" max="9484" width="9.140625" style="6"/>
    <col min="9485" max="9485" width="3" style="6" customWidth="1"/>
    <col min="9486" max="9486" width="38.5703125" style="6" customWidth="1"/>
    <col min="9487" max="9487" width="22.42578125" style="6" customWidth="1"/>
    <col min="9488" max="9488" width="16.42578125" style="6" customWidth="1"/>
    <col min="9489" max="9489" width="20" style="6" customWidth="1"/>
    <col min="9490" max="9490" width="20.42578125" style="6" customWidth="1"/>
    <col min="9491" max="9491" width="9.140625" style="6"/>
    <col min="9492" max="9505" width="0" style="6" hidden="1" customWidth="1"/>
    <col min="9506" max="9740" width="9.140625" style="6"/>
    <col min="9741" max="9741" width="3" style="6" customWidth="1"/>
    <col min="9742" max="9742" width="38.5703125" style="6" customWidth="1"/>
    <col min="9743" max="9743" width="22.42578125" style="6" customWidth="1"/>
    <col min="9744" max="9744" width="16.42578125" style="6" customWidth="1"/>
    <col min="9745" max="9745" width="20" style="6" customWidth="1"/>
    <col min="9746" max="9746" width="20.42578125" style="6" customWidth="1"/>
    <col min="9747" max="9747" width="9.140625" style="6"/>
    <col min="9748" max="9761" width="0" style="6" hidden="1" customWidth="1"/>
    <col min="9762" max="9996" width="9.140625" style="6"/>
    <col min="9997" max="9997" width="3" style="6" customWidth="1"/>
    <col min="9998" max="9998" width="38.5703125" style="6" customWidth="1"/>
    <col min="9999" max="9999" width="22.42578125" style="6" customWidth="1"/>
    <col min="10000" max="10000" width="16.42578125" style="6" customWidth="1"/>
    <col min="10001" max="10001" width="20" style="6" customWidth="1"/>
    <col min="10002" max="10002" width="20.42578125" style="6" customWidth="1"/>
    <col min="10003" max="10003" width="9.140625" style="6"/>
    <col min="10004" max="10017" width="0" style="6" hidden="1" customWidth="1"/>
    <col min="10018" max="10252" width="9.140625" style="6"/>
    <col min="10253" max="10253" width="3" style="6" customWidth="1"/>
    <col min="10254" max="10254" width="38.5703125" style="6" customWidth="1"/>
    <col min="10255" max="10255" width="22.42578125" style="6" customWidth="1"/>
    <col min="10256" max="10256" width="16.42578125" style="6" customWidth="1"/>
    <col min="10257" max="10257" width="20" style="6" customWidth="1"/>
    <col min="10258" max="10258" width="20.42578125" style="6" customWidth="1"/>
    <col min="10259" max="10259" width="9.140625" style="6"/>
    <col min="10260" max="10273" width="0" style="6" hidden="1" customWidth="1"/>
    <col min="10274" max="10508" width="9.140625" style="6"/>
    <col min="10509" max="10509" width="3" style="6" customWidth="1"/>
    <col min="10510" max="10510" width="38.5703125" style="6" customWidth="1"/>
    <col min="10511" max="10511" width="22.42578125" style="6" customWidth="1"/>
    <col min="10512" max="10512" width="16.42578125" style="6" customWidth="1"/>
    <col min="10513" max="10513" width="20" style="6" customWidth="1"/>
    <col min="10514" max="10514" width="20.42578125" style="6" customWidth="1"/>
    <col min="10515" max="10515" width="9.140625" style="6"/>
    <col min="10516" max="10529" width="0" style="6" hidden="1" customWidth="1"/>
    <col min="10530" max="10764" width="9.140625" style="6"/>
    <col min="10765" max="10765" width="3" style="6" customWidth="1"/>
    <col min="10766" max="10766" width="38.5703125" style="6" customWidth="1"/>
    <col min="10767" max="10767" width="22.42578125" style="6" customWidth="1"/>
    <col min="10768" max="10768" width="16.42578125" style="6" customWidth="1"/>
    <col min="10769" max="10769" width="20" style="6" customWidth="1"/>
    <col min="10770" max="10770" width="20.42578125" style="6" customWidth="1"/>
    <col min="10771" max="10771" width="9.140625" style="6"/>
    <col min="10772" max="10785" width="0" style="6" hidden="1" customWidth="1"/>
    <col min="10786" max="11020" width="9.140625" style="6"/>
    <col min="11021" max="11021" width="3" style="6" customWidth="1"/>
    <col min="11022" max="11022" width="38.5703125" style="6" customWidth="1"/>
    <col min="11023" max="11023" width="22.42578125" style="6" customWidth="1"/>
    <col min="11024" max="11024" width="16.42578125" style="6" customWidth="1"/>
    <col min="11025" max="11025" width="20" style="6" customWidth="1"/>
    <col min="11026" max="11026" width="20.42578125" style="6" customWidth="1"/>
    <col min="11027" max="11027" width="9.140625" style="6"/>
    <col min="11028" max="11041" width="0" style="6" hidden="1" customWidth="1"/>
    <col min="11042" max="11276" width="9.140625" style="6"/>
    <col min="11277" max="11277" width="3" style="6" customWidth="1"/>
    <col min="11278" max="11278" width="38.5703125" style="6" customWidth="1"/>
    <col min="11279" max="11279" width="22.42578125" style="6" customWidth="1"/>
    <col min="11280" max="11280" width="16.42578125" style="6" customWidth="1"/>
    <col min="11281" max="11281" width="20" style="6" customWidth="1"/>
    <col min="11282" max="11282" width="20.42578125" style="6" customWidth="1"/>
    <col min="11283" max="11283" width="9.140625" style="6"/>
    <col min="11284" max="11297" width="0" style="6" hidden="1" customWidth="1"/>
    <col min="11298" max="11532" width="9.140625" style="6"/>
    <col min="11533" max="11533" width="3" style="6" customWidth="1"/>
    <col min="11534" max="11534" width="38.5703125" style="6" customWidth="1"/>
    <col min="11535" max="11535" width="22.42578125" style="6" customWidth="1"/>
    <col min="11536" max="11536" width="16.42578125" style="6" customWidth="1"/>
    <col min="11537" max="11537" width="20" style="6" customWidth="1"/>
    <col min="11538" max="11538" width="20.42578125" style="6" customWidth="1"/>
    <col min="11539" max="11539" width="9.140625" style="6"/>
    <col min="11540" max="11553" width="0" style="6" hidden="1" customWidth="1"/>
    <col min="11554" max="11788" width="9.140625" style="6"/>
    <col min="11789" max="11789" width="3" style="6" customWidth="1"/>
    <col min="11790" max="11790" width="38.5703125" style="6" customWidth="1"/>
    <col min="11791" max="11791" width="22.42578125" style="6" customWidth="1"/>
    <col min="11792" max="11792" width="16.42578125" style="6" customWidth="1"/>
    <col min="11793" max="11793" width="20" style="6" customWidth="1"/>
    <col min="11794" max="11794" width="20.42578125" style="6" customWidth="1"/>
    <col min="11795" max="11795" width="9.140625" style="6"/>
    <col min="11796" max="11809" width="0" style="6" hidden="1" customWidth="1"/>
    <col min="11810" max="12044" width="9.140625" style="6"/>
    <col min="12045" max="12045" width="3" style="6" customWidth="1"/>
    <col min="12046" max="12046" width="38.5703125" style="6" customWidth="1"/>
    <col min="12047" max="12047" width="22.42578125" style="6" customWidth="1"/>
    <col min="12048" max="12048" width="16.42578125" style="6" customWidth="1"/>
    <col min="12049" max="12049" width="20" style="6" customWidth="1"/>
    <col min="12050" max="12050" width="20.42578125" style="6" customWidth="1"/>
    <col min="12051" max="12051" width="9.140625" style="6"/>
    <col min="12052" max="12065" width="0" style="6" hidden="1" customWidth="1"/>
    <col min="12066" max="12300" width="9.140625" style="6"/>
    <col min="12301" max="12301" width="3" style="6" customWidth="1"/>
    <col min="12302" max="12302" width="38.5703125" style="6" customWidth="1"/>
    <col min="12303" max="12303" width="22.42578125" style="6" customWidth="1"/>
    <col min="12304" max="12304" width="16.42578125" style="6" customWidth="1"/>
    <col min="12305" max="12305" width="20" style="6" customWidth="1"/>
    <col min="12306" max="12306" width="20.42578125" style="6" customWidth="1"/>
    <col min="12307" max="12307" width="9.140625" style="6"/>
    <col min="12308" max="12321" width="0" style="6" hidden="1" customWidth="1"/>
    <col min="12322" max="12556" width="9.140625" style="6"/>
    <col min="12557" max="12557" width="3" style="6" customWidth="1"/>
    <col min="12558" max="12558" width="38.5703125" style="6" customWidth="1"/>
    <col min="12559" max="12559" width="22.42578125" style="6" customWidth="1"/>
    <col min="12560" max="12560" width="16.42578125" style="6" customWidth="1"/>
    <col min="12561" max="12561" width="20" style="6" customWidth="1"/>
    <col min="12562" max="12562" width="20.42578125" style="6" customWidth="1"/>
    <col min="12563" max="12563" width="9.140625" style="6"/>
    <col min="12564" max="12577" width="0" style="6" hidden="1" customWidth="1"/>
    <col min="12578" max="12812" width="9.140625" style="6"/>
    <col min="12813" max="12813" width="3" style="6" customWidth="1"/>
    <col min="12814" max="12814" width="38.5703125" style="6" customWidth="1"/>
    <col min="12815" max="12815" width="22.42578125" style="6" customWidth="1"/>
    <col min="12816" max="12816" width="16.42578125" style="6" customWidth="1"/>
    <col min="12817" max="12817" width="20" style="6" customWidth="1"/>
    <col min="12818" max="12818" width="20.42578125" style="6" customWidth="1"/>
    <col min="12819" max="12819" width="9.140625" style="6"/>
    <col min="12820" max="12833" width="0" style="6" hidden="1" customWidth="1"/>
    <col min="12834" max="13068" width="9.140625" style="6"/>
    <col min="13069" max="13069" width="3" style="6" customWidth="1"/>
    <col min="13070" max="13070" width="38.5703125" style="6" customWidth="1"/>
    <col min="13071" max="13071" width="22.42578125" style="6" customWidth="1"/>
    <col min="13072" max="13072" width="16.42578125" style="6" customWidth="1"/>
    <col min="13073" max="13073" width="20" style="6" customWidth="1"/>
    <col min="13074" max="13074" width="20.42578125" style="6" customWidth="1"/>
    <col min="13075" max="13075" width="9.140625" style="6"/>
    <col min="13076" max="13089" width="0" style="6" hidden="1" customWidth="1"/>
    <col min="13090" max="13324" width="9.140625" style="6"/>
    <col min="13325" max="13325" width="3" style="6" customWidth="1"/>
    <col min="13326" max="13326" width="38.5703125" style="6" customWidth="1"/>
    <col min="13327" max="13327" width="22.42578125" style="6" customWidth="1"/>
    <col min="13328" max="13328" width="16.42578125" style="6" customWidth="1"/>
    <col min="13329" max="13329" width="20" style="6" customWidth="1"/>
    <col min="13330" max="13330" width="20.42578125" style="6" customWidth="1"/>
    <col min="13331" max="13331" width="9.140625" style="6"/>
    <col min="13332" max="13345" width="0" style="6" hidden="1" customWidth="1"/>
    <col min="13346" max="13580" width="9.140625" style="6"/>
    <col min="13581" max="13581" width="3" style="6" customWidth="1"/>
    <col min="13582" max="13582" width="38.5703125" style="6" customWidth="1"/>
    <col min="13583" max="13583" width="22.42578125" style="6" customWidth="1"/>
    <col min="13584" max="13584" width="16.42578125" style="6" customWidth="1"/>
    <col min="13585" max="13585" width="20" style="6" customWidth="1"/>
    <col min="13586" max="13586" width="20.42578125" style="6" customWidth="1"/>
    <col min="13587" max="13587" width="9.140625" style="6"/>
    <col min="13588" max="13601" width="0" style="6" hidden="1" customWidth="1"/>
    <col min="13602" max="13836" width="9.140625" style="6"/>
    <col min="13837" max="13837" width="3" style="6" customWidth="1"/>
    <col min="13838" max="13838" width="38.5703125" style="6" customWidth="1"/>
    <col min="13839" max="13839" width="22.42578125" style="6" customWidth="1"/>
    <col min="13840" max="13840" width="16.42578125" style="6" customWidth="1"/>
    <col min="13841" max="13841" width="20" style="6" customWidth="1"/>
    <col min="13842" max="13842" width="20.42578125" style="6" customWidth="1"/>
    <col min="13843" max="13843" width="9.140625" style="6"/>
    <col min="13844" max="13857" width="0" style="6" hidden="1" customWidth="1"/>
    <col min="13858" max="14092" width="9.140625" style="6"/>
    <col min="14093" max="14093" width="3" style="6" customWidth="1"/>
    <col min="14094" max="14094" width="38.5703125" style="6" customWidth="1"/>
    <col min="14095" max="14095" width="22.42578125" style="6" customWidth="1"/>
    <col min="14096" max="14096" width="16.42578125" style="6" customWidth="1"/>
    <col min="14097" max="14097" width="20" style="6" customWidth="1"/>
    <col min="14098" max="14098" width="20.42578125" style="6" customWidth="1"/>
    <col min="14099" max="14099" width="9.140625" style="6"/>
    <col min="14100" max="14113" width="0" style="6" hidden="1" customWidth="1"/>
    <col min="14114" max="14348" width="9.140625" style="6"/>
    <col min="14349" max="14349" width="3" style="6" customWidth="1"/>
    <col min="14350" max="14350" width="38.5703125" style="6" customWidth="1"/>
    <col min="14351" max="14351" width="22.42578125" style="6" customWidth="1"/>
    <col min="14352" max="14352" width="16.42578125" style="6" customWidth="1"/>
    <col min="14353" max="14353" width="20" style="6" customWidth="1"/>
    <col min="14354" max="14354" width="20.42578125" style="6" customWidth="1"/>
    <col min="14355" max="14355" width="9.140625" style="6"/>
    <col min="14356" max="14369" width="0" style="6" hidden="1" customWidth="1"/>
    <col min="14370" max="14604" width="9.140625" style="6"/>
    <col min="14605" max="14605" width="3" style="6" customWidth="1"/>
    <col min="14606" max="14606" width="38.5703125" style="6" customWidth="1"/>
    <col min="14607" max="14607" width="22.42578125" style="6" customWidth="1"/>
    <col min="14608" max="14608" width="16.42578125" style="6" customWidth="1"/>
    <col min="14609" max="14609" width="20" style="6" customWidth="1"/>
    <col min="14610" max="14610" width="20.42578125" style="6" customWidth="1"/>
    <col min="14611" max="14611" width="9.140625" style="6"/>
    <col min="14612" max="14625" width="0" style="6" hidden="1" customWidth="1"/>
    <col min="14626" max="14860" width="9.140625" style="6"/>
    <col min="14861" max="14861" width="3" style="6" customWidth="1"/>
    <col min="14862" max="14862" width="38.5703125" style="6" customWidth="1"/>
    <col min="14863" max="14863" width="22.42578125" style="6" customWidth="1"/>
    <col min="14864" max="14864" width="16.42578125" style="6" customWidth="1"/>
    <col min="14865" max="14865" width="20" style="6" customWidth="1"/>
    <col min="14866" max="14866" width="20.42578125" style="6" customWidth="1"/>
    <col min="14867" max="14867" width="9.140625" style="6"/>
    <col min="14868" max="14881" width="0" style="6" hidden="1" customWidth="1"/>
    <col min="14882" max="15116" width="9.140625" style="6"/>
    <col min="15117" max="15117" width="3" style="6" customWidth="1"/>
    <col min="15118" max="15118" width="38.5703125" style="6" customWidth="1"/>
    <col min="15119" max="15119" width="22.42578125" style="6" customWidth="1"/>
    <col min="15120" max="15120" width="16.42578125" style="6" customWidth="1"/>
    <col min="15121" max="15121" width="20" style="6" customWidth="1"/>
    <col min="15122" max="15122" width="20.42578125" style="6" customWidth="1"/>
    <col min="15123" max="15123" width="9.140625" style="6"/>
    <col min="15124" max="15137" width="0" style="6" hidden="1" customWidth="1"/>
    <col min="15138" max="15372" width="9.140625" style="6"/>
    <col min="15373" max="15373" width="3" style="6" customWidth="1"/>
    <col min="15374" max="15374" width="38.5703125" style="6" customWidth="1"/>
    <col min="15375" max="15375" width="22.42578125" style="6" customWidth="1"/>
    <col min="15376" max="15376" width="16.42578125" style="6" customWidth="1"/>
    <col min="15377" max="15377" width="20" style="6" customWidth="1"/>
    <col min="15378" max="15378" width="20.42578125" style="6" customWidth="1"/>
    <col min="15379" max="15379" width="9.140625" style="6"/>
    <col min="15380" max="15393" width="0" style="6" hidden="1" customWidth="1"/>
    <col min="15394" max="15628" width="9.140625" style="6"/>
    <col min="15629" max="15629" width="3" style="6" customWidth="1"/>
    <col min="15630" max="15630" width="38.5703125" style="6" customWidth="1"/>
    <col min="15631" max="15631" width="22.42578125" style="6" customWidth="1"/>
    <col min="15632" max="15632" width="16.42578125" style="6" customWidth="1"/>
    <col min="15633" max="15633" width="20" style="6" customWidth="1"/>
    <col min="15634" max="15634" width="20.42578125" style="6" customWidth="1"/>
    <col min="15635" max="15635" width="9.140625" style="6"/>
    <col min="15636" max="15649" width="0" style="6" hidden="1" customWidth="1"/>
    <col min="15650" max="15884" width="9.140625" style="6"/>
    <col min="15885" max="15885" width="3" style="6" customWidth="1"/>
    <col min="15886" max="15886" width="38.5703125" style="6" customWidth="1"/>
    <col min="15887" max="15887" width="22.42578125" style="6" customWidth="1"/>
    <col min="15888" max="15888" width="16.42578125" style="6" customWidth="1"/>
    <col min="15889" max="15889" width="20" style="6" customWidth="1"/>
    <col min="15890" max="15890" width="20.42578125" style="6" customWidth="1"/>
    <col min="15891" max="15891" width="9.140625" style="6"/>
    <col min="15892" max="15905" width="0" style="6" hidden="1" customWidth="1"/>
    <col min="15906" max="16140" width="9.140625" style="6"/>
    <col min="16141" max="16141" width="3" style="6" customWidth="1"/>
    <col min="16142" max="16142" width="38.5703125" style="6" customWidth="1"/>
    <col min="16143" max="16143" width="22.42578125" style="6" customWidth="1"/>
    <col min="16144" max="16144" width="16.42578125" style="6" customWidth="1"/>
    <col min="16145" max="16145" width="20" style="6" customWidth="1"/>
    <col min="16146" max="16146" width="20.42578125" style="6" customWidth="1"/>
    <col min="16147" max="16147" width="9.140625" style="6"/>
    <col min="16148" max="16161" width="0" style="6" hidden="1" customWidth="1"/>
    <col min="16162" max="16384" width="9.140625" style="6"/>
  </cols>
  <sheetData>
    <row r="1" spans="1:52" ht="35.450000000000003" customHeight="1" thickBot="1" x14ac:dyDescent="0.25">
      <c r="B1" s="371" t="s">
        <v>337</v>
      </c>
      <c r="C1" s="372"/>
      <c r="D1" s="372"/>
      <c r="E1" s="372"/>
      <c r="F1" s="372"/>
      <c r="G1" s="372"/>
      <c r="H1" s="373"/>
    </row>
    <row r="2" spans="1:52" ht="30" customHeight="1" thickBot="1" x14ac:dyDescent="0.25">
      <c r="B2" s="317" t="s">
        <v>316</v>
      </c>
      <c r="C2" s="317"/>
      <c r="D2" s="374" t="s">
        <v>365</v>
      </c>
      <c r="E2" s="375"/>
      <c r="F2" s="376"/>
      <c r="G2" s="376"/>
      <c r="H2" s="377"/>
      <c r="AC2" s="64" t="s">
        <v>364</v>
      </c>
      <c r="AZ2" s="103"/>
    </row>
    <row r="3" spans="1:52" ht="13.5" thickBot="1" x14ac:dyDescent="0.25">
      <c r="B3" s="317" t="s">
        <v>5</v>
      </c>
      <c r="C3" s="317"/>
      <c r="D3" s="360" t="s">
        <v>359</v>
      </c>
      <c r="E3" s="358"/>
      <c r="F3" s="358"/>
      <c r="G3" s="358"/>
      <c r="H3" s="359"/>
      <c r="AC3" s="64">
        <v>36</v>
      </c>
      <c r="AZ3" s="103"/>
    </row>
    <row r="4" spans="1:52" ht="12.75" customHeight="1" thickBot="1" x14ac:dyDescent="0.25">
      <c r="B4" s="370" t="s">
        <v>3</v>
      </c>
      <c r="C4" s="370"/>
      <c r="D4" s="360" t="s">
        <v>360</v>
      </c>
      <c r="E4" s="358"/>
      <c r="F4" s="358"/>
      <c r="G4" s="358"/>
      <c r="H4" s="359"/>
      <c r="AC4" s="64" t="s">
        <v>260</v>
      </c>
      <c r="AZ4" s="103" t="str">
        <f t="shared" ref="AZ4:AZ15" si="0">IF( G18 &lt;&gt; "", G18*G18*H18*H18/($G$34*$G$34), "")</f>
        <v/>
      </c>
    </row>
    <row r="5" spans="1:52" ht="13.5" thickBot="1" x14ac:dyDescent="0.25">
      <c r="B5" s="317" t="s">
        <v>321</v>
      </c>
      <c r="C5" s="317"/>
      <c r="D5" s="368">
        <v>44393</v>
      </c>
      <c r="E5" s="369"/>
      <c r="F5" s="358"/>
      <c r="G5" s="358"/>
      <c r="H5" s="359"/>
      <c r="AC5" s="64" t="s">
        <v>261</v>
      </c>
      <c r="AZ5" s="103" t="str">
        <f t="shared" si="0"/>
        <v/>
      </c>
    </row>
    <row r="6" spans="1:52" ht="13.7" customHeight="1" thickBot="1" x14ac:dyDescent="0.25">
      <c r="B6" s="317" t="s">
        <v>68</v>
      </c>
      <c r="C6" s="317"/>
      <c r="D6" s="360"/>
      <c r="E6" s="358"/>
      <c r="F6" s="358"/>
      <c r="G6" s="358"/>
      <c r="H6" s="359"/>
      <c r="AC6" s="64" t="s">
        <v>198</v>
      </c>
      <c r="AZ6" s="103" t="str">
        <f t="shared" si="0"/>
        <v/>
      </c>
    </row>
    <row r="7" spans="1:52" ht="13.7" customHeight="1" thickBot="1" x14ac:dyDescent="0.25">
      <c r="B7" s="317" t="s">
        <v>309</v>
      </c>
      <c r="C7" s="317"/>
      <c r="D7" s="360" t="s">
        <v>367</v>
      </c>
      <c r="E7" s="358"/>
      <c r="F7" s="358"/>
      <c r="G7" s="358"/>
      <c r="H7" s="359"/>
      <c r="J7" s="64" t="s">
        <v>98</v>
      </c>
      <c r="K7" s="65">
        <v>9.9999999999999995E-8</v>
      </c>
      <c r="AC7" s="64" t="s">
        <v>219</v>
      </c>
      <c r="AZ7" s="103" t="str">
        <f t="shared" si="0"/>
        <v/>
      </c>
    </row>
    <row r="8" spans="1:52" ht="13.7" customHeight="1" thickBot="1" x14ac:dyDescent="0.25">
      <c r="B8" s="317" t="s">
        <v>12</v>
      </c>
      <c r="C8" s="317"/>
      <c r="D8" s="360"/>
      <c r="E8" s="358"/>
      <c r="F8" s="358"/>
      <c r="G8" s="358"/>
      <c r="H8" s="359"/>
      <c r="AC8" s="64" t="s">
        <v>159</v>
      </c>
      <c r="AZ8" s="103" t="str">
        <f t="shared" si="0"/>
        <v/>
      </c>
    </row>
    <row r="9" spans="1:52" ht="13.7" customHeight="1" thickBot="1" x14ac:dyDescent="0.25">
      <c r="B9" s="317" t="s">
        <v>14</v>
      </c>
      <c r="C9" s="317"/>
      <c r="D9" s="366" t="s">
        <v>369</v>
      </c>
      <c r="E9" s="367"/>
      <c r="F9" s="358"/>
      <c r="G9" s="358"/>
      <c r="H9" s="359"/>
      <c r="AC9" s="64" t="s">
        <v>262</v>
      </c>
      <c r="AZ9" s="103" t="str">
        <f t="shared" si="0"/>
        <v/>
      </c>
    </row>
    <row r="10" spans="1:52" ht="13.7" customHeight="1" thickBot="1" x14ac:dyDescent="0.25">
      <c r="B10" s="354" t="s">
        <v>184</v>
      </c>
      <c r="C10" s="355"/>
      <c r="D10" s="360"/>
      <c r="E10" s="358"/>
      <c r="F10" s="358"/>
      <c r="G10" s="358"/>
      <c r="H10" s="359"/>
      <c r="L10" s="64" t="s">
        <v>99</v>
      </c>
      <c r="M10" s="64" t="s">
        <v>100</v>
      </c>
      <c r="N10" s="64" t="s">
        <v>101</v>
      </c>
      <c r="O10" s="64" t="s">
        <v>102</v>
      </c>
      <c r="P10" s="64" t="s">
        <v>43</v>
      </c>
      <c r="Q10" s="64" t="s">
        <v>103</v>
      </c>
      <c r="R10" s="64" t="s">
        <v>104</v>
      </c>
      <c r="S10" s="64" t="s">
        <v>105</v>
      </c>
      <c r="T10" s="64" t="s">
        <v>106</v>
      </c>
      <c r="U10" s="64" t="s">
        <v>107</v>
      </c>
      <c r="V10" s="64" t="s">
        <v>162</v>
      </c>
      <c r="W10" s="64" t="s">
        <v>163</v>
      </c>
      <c r="X10" s="64" t="s">
        <v>164</v>
      </c>
      <c r="Y10" s="64" t="s">
        <v>165</v>
      </c>
      <c r="Z10" s="64" t="s">
        <v>166</v>
      </c>
      <c r="AC10" s="64">
        <v>2</v>
      </c>
      <c r="AG10" s="100"/>
      <c r="AZ10" s="103" t="str">
        <f t="shared" si="0"/>
        <v/>
      </c>
    </row>
    <row r="11" spans="1:52" ht="13.35" customHeight="1" thickBot="1" x14ac:dyDescent="0.25">
      <c r="B11" s="354" t="s">
        <v>61</v>
      </c>
      <c r="C11" s="355"/>
      <c r="D11" s="356" t="s">
        <v>34</v>
      </c>
      <c r="E11" s="357"/>
      <c r="F11" s="358"/>
      <c r="G11" s="358"/>
      <c r="H11" s="359"/>
      <c r="K11" s="64" t="s">
        <v>108</v>
      </c>
      <c r="L11" s="64">
        <f>D16</f>
        <v>25</v>
      </c>
      <c r="M11" s="64">
        <f>D17</f>
        <v>30</v>
      </c>
      <c r="N11" s="66">
        <f>D18</f>
        <v>0</v>
      </c>
      <c r="O11" s="66">
        <f>D19</f>
        <v>0</v>
      </c>
      <c r="P11" s="66">
        <f>D20</f>
        <v>0</v>
      </c>
      <c r="Q11" s="66">
        <f>D21</f>
        <v>0</v>
      </c>
      <c r="R11" s="66">
        <f>D22</f>
        <v>0</v>
      </c>
      <c r="S11" s="66">
        <f>D23</f>
        <v>0</v>
      </c>
      <c r="T11" s="66">
        <f>D24</f>
        <v>0</v>
      </c>
      <c r="U11" s="66">
        <f>D25</f>
        <v>0</v>
      </c>
      <c r="V11" s="66">
        <f>D26</f>
        <v>0</v>
      </c>
      <c r="W11" s="66">
        <f>D27</f>
        <v>0</v>
      </c>
      <c r="X11" s="66">
        <f>D28</f>
        <v>0</v>
      </c>
      <c r="Y11" s="66">
        <f>D29</f>
        <v>0</v>
      </c>
      <c r="Z11" s="66">
        <f>D30</f>
        <v>0</v>
      </c>
      <c r="AC11" s="64" t="s">
        <v>302</v>
      </c>
      <c r="AZ11" s="103" t="str">
        <f t="shared" si="0"/>
        <v/>
      </c>
    </row>
    <row r="12" spans="1:52" ht="13.5" thickBot="1" x14ac:dyDescent="0.25">
      <c r="B12" s="354" t="s">
        <v>314</v>
      </c>
      <c r="C12" s="355"/>
      <c r="D12" s="360"/>
      <c r="E12" s="358"/>
      <c r="F12" s="358"/>
      <c r="G12" s="358"/>
      <c r="H12" s="359"/>
      <c r="K12" s="64" t="s">
        <v>109</v>
      </c>
      <c r="L12" s="64" t="str">
        <f>F16</f>
        <v>Normal (95% k=1.96)</v>
      </c>
      <c r="M12" s="64" t="str">
        <f>F17</f>
        <v>Normal (95% k=1.96)</v>
      </c>
      <c r="N12" s="66">
        <f>F18</f>
        <v>0</v>
      </c>
      <c r="O12" s="66">
        <f>F19</f>
        <v>0</v>
      </c>
      <c r="P12" s="66">
        <f>F20</f>
        <v>0</v>
      </c>
      <c r="Q12" s="66">
        <f>F21</f>
        <v>0</v>
      </c>
      <c r="R12" s="66">
        <f>F22</f>
        <v>0</v>
      </c>
      <c r="S12" s="66">
        <f>F23</f>
        <v>0</v>
      </c>
      <c r="T12" s="66">
        <f>F24</f>
        <v>0</v>
      </c>
      <c r="U12" s="66">
        <f>F25</f>
        <v>0</v>
      </c>
      <c r="V12" s="66">
        <f>F26</f>
        <v>0</v>
      </c>
      <c r="W12" s="66">
        <f>F27</f>
        <v>0</v>
      </c>
      <c r="X12" s="66">
        <f>F28</f>
        <v>0</v>
      </c>
      <c r="Y12" s="66">
        <f>F29</f>
        <v>0</v>
      </c>
      <c r="Z12" s="66">
        <f>F30</f>
        <v>0</v>
      </c>
      <c r="AC12" s="64" t="s">
        <v>303</v>
      </c>
      <c r="AZ12" s="103" t="str">
        <f t="shared" si="0"/>
        <v/>
      </c>
    </row>
    <row r="13" spans="1:52" ht="42.6" customHeight="1" x14ac:dyDescent="0.2">
      <c r="A13" s="99"/>
      <c r="B13" s="361" t="s">
        <v>136</v>
      </c>
      <c r="C13" s="362"/>
      <c r="D13" s="363"/>
      <c r="E13" s="364"/>
      <c r="F13" s="364"/>
      <c r="G13" s="364"/>
      <c r="H13" s="365"/>
      <c r="K13" s="64" t="s">
        <v>42</v>
      </c>
      <c r="L13" s="66">
        <f>G16</f>
        <v>0.14796190250815014</v>
      </c>
      <c r="M13" s="66">
        <f>G17</f>
        <v>0.17347257535438232</v>
      </c>
      <c r="N13" s="64" t="str">
        <f>G18</f>
        <v/>
      </c>
      <c r="O13" s="66" t="str">
        <f>G19</f>
        <v/>
      </c>
      <c r="P13" s="66" t="str">
        <f>G20</f>
        <v/>
      </c>
      <c r="Q13" s="66" t="str">
        <f>G21</f>
        <v/>
      </c>
      <c r="R13" s="66" t="str">
        <f>G22</f>
        <v/>
      </c>
      <c r="S13" s="66" t="str">
        <f>G23</f>
        <v/>
      </c>
      <c r="T13" s="66" t="str">
        <f>G24</f>
        <v/>
      </c>
      <c r="U13" s="66" t="str">
        <f>G25</f>
        <v/>
      </c>
      <c r="V13" s="66" t="str">
        <f>G26</f>
        <v/>
      </c>
      <c r="W13" s="66" t="str">
        <f>G27</f>
        <v/>
      </c>
      <c r="X13" s="66" t="str">
        <f>G28</f>
        <v/>
      </c>
      <c r="Y13" s="66" t="str">
        <f>G29</f>
        <v/>
      </c>
      <c r="Z13" s="66" t="str">
        <f>G30</f>
        <v/>
      </c>
      <c r="AC13" s="64" t="s">
        <v>343</v>
      </c>
      <c r="AZ13" s="103" t="str">
        <f t="shared" si="0"/>
        <v/>
      </c>
    </row>
    <row r="14" spans="1:52" ht="15.6" customHeight="1" x14ac:dyDescent="0.2">
      <c r="B14" s="353" t="s">
        <v>110</v>
      </c>
      <c r="C14" s="353"/>
      <c r="D14" s="353"/>
      <c r="E14" s="353"/>
      <c r="F14" s="353"/>
      <c r="G14" s="353"/>
      <c r="H14" s="353"/>
      <c r="AD14" s="105"/>
      <c r="AE14" s="114"/>
      <c r="AF14" s="333" t="s">
        <v>140</v>
      </c>
      <c r="AG14" s="334"/>
      <c r="AH14" s="334"/>
      <c r="AI14" s="334"/>
      <c r="AJ14" s="334"/>
      <c r="AK14" s="334"/>
      <c r="AL14" s="334"/>
      <c r="AM14" s="334"/>
      <c r="AN14" s="334"/>
      <c r="AO14" s="334"/>
      <c r="AP14" s="334"/>
      <c r="AQ14" s="334"/>
      <c r="AR14" s="334"/>
      <c r="AS14" s="334"/>
      <c r="AT14" s="334"/>
      <c r="AU14" s="335"/>
      <c r="AZ14" s="103" t="str">
        <f t="shared" si="0"/>
        <v/>
      </c>
    </row>
    <row r="15" spans="1:52" ht="24" customHeight="1" x14ac:dyDescent="0.2">
      <c r="A15" s="99" t="s">
        <v>137</v>
      </c>
      <c r="B15" s="336" t="s">
        <v>111</v>
      </c>
      <c r="C15" s="337"/>
      <c r="D15" s="12" t="s">
        <v>112</v>
      </c>
      <c r="E15" s="110" t="s">
        <v>338</v>
      </c>
      <c r="F15" s="110" t="s">
        <v>89</v>
      </c>
      <c r="G15" s="109" t="s">
        <v>19</v>
      </c>
      <c r="H15" s="110" t="s">
        <v>114</v>
      </c>
      <c r="AD15" s="106"/>
      <c r="AE15" s="110" t="s">
        <v>111</v>
      </c>
      <c r="AF15" s="12" t="s">
        <v>141</v>
      </c>
      <c r="AG15" s="108">
        <v>1</v>
      </c>
      <c r="AH15" s="12">
        <v>2</v>
      </c>
      <c r="AI15" s="12">
        <v>3</v>
      </c>
      <c r="AJ15" s="12">
        <v>4</v>
      </c>
      <c r="AK15" s="12">
        <v>5</v>
      </c>
      <c r="AL15" s="12">
        <v>6</v>
      </c>
      <c r="AM15" s="108">
        <v>7</v>
      </c>
      <c r="AN15" s="12">
        <v>8</v>
      </c>
      <c r="AO15" s="12">
        <v>9</v>
      </c>
      <c r="AP15" s="12">
        <v>10</v>
      </c>
      <c r="AQ15" s="12">
        <v>11</v>
      </c>
      <c r="AR15" s="12">
        <v>12</v>
      </c>
      <c r="AS15" s="12">
        <v>13</v>
      </c>
      <c r="AT15" s="12">
        <v>14</v>
      </c>
      <c r="AU15" s="12">
        <v>15</v>
      </c>
      <c r="AZ15" s="103" t="str">
        <f t="shared" si="0"/>
        <v/>
      </c>
    </row>
    <row r="16" spans="1:52" x14ac:dyDescent="0.2">
      <c r="B16" s="67">
        <v>1</v>
      </c>
      <c r="C16" s="80" t="s">
        <v>351</v>
      </c>
      <c r="D16" s="176">
        <v>25</v>
      </c>
      <c r="E16" s="178">
        <v>0.29000000000000092</v>
      </c>
      <c r="F16" s="4" t="s">
        <v>6</v>
      </c>
      <c r="G16" s="72">
        <f t="shared" ref="G16:G30" si="1">IF( ISNUMBER(E16), IF( ISERROR( ABS(E16/LOOKUP(F16,UncLookup)) ), ABS(E16), ABS(E16/LOOKUP(F16,UncLookup)) ), "")</f>
        <v>0.14796190250815014</v>
      </c>
      <c r="H16" s="178">
        <f>IF(L35 = 0, " ",L35)</f>
        <v>3.3333333337992599E-2</v>
      </c>
      <c r="J16" s="64" t="s">
        <v>99</v>
      </c>
      <c r="K16" s="71">
        <f t="shared" ref="K16:K30" si="2">D16</f>
        <v>25</v>
      </c>
      <c r="L16" s="18">
        <f>IF( $K$16 = 0, Delta, $K$16*(1+Delta))</f>
        <v>25.000002500000001</v>
      </c>
      <c r="M16" s="72">
        <f t="shared" ref="M16:Z16" si="3">$K$16</f>
        <v>25</v>
      </c>
      <c r="N16" s="72">
        <f t="shared" si="3"/>
        <v>25</v>
      </c>
      <c r="O16" s="72">
        <f t="shared" si="3"/>
        <v>25</v>
      </c>
      <c r="P16" s="72">
        <f t="shared" si="3"/>
        <v>25</v>
      </c>
      <c r="Q16" s="72">
        <f t="shared" si="3"/>
        <v>25</v>
      </c>
      <c r="R16" s="72">
        <f t="shared" si="3"/>
        <v>25</v>
      </c>
      <c r="S16" s="72">
        <f t="shared" si="3"/>
        <v>25</v>
      </c>
      <c r="T16" s="72">
        <f t="shared" si="3"/>
        <v>25</v>
      </c>
      <c r="U16" s="72">
        <f t="shared" si="3"/>
        <v>25</v>
      </c>
      <c r="V16" s="72">
        <f t="shared" si="3"/>
        <v>25</v>
      </c>
      <c r="W16" s="72">
        <f t="shared" si="3"/>
        <v>25</v>
      </c>
      <c r="X16" s="72">
        <f t="shared" si="3"/>
        <v>25</v>
      </c>
      <c r="Y16" s="72">
        <f t="shared" si="3"/>
        <v>25</v>
      </c>
      <c r="Z16" s="72">
        <f t="shared" si="3"/>
        <v>25</v>
      </c>
      <c r="AD16" s="106"/>
      <c r="AE16" s="80" t="str">
        <f t="shared" ref="AE16:AE30" si="4">IF(C16&lt;&gt;"", C16, "")</f>
        <v>AC Voltage 1</v>
      </c>
      <c r="AF16" s="74">
        <v>1</v>
      </c>
      <c r="AG16" s="33">
        <v>1</v>
      </c>
      <c r="AH16" s="33"/>
      <c r="AI16" s="33"/>
      <c r="AJ16" s="33"/>
      <c r="AK16" s="33"/>
      <c r="AL16" s="33"/>
      <c r="AM16" s="33"/>
      <c r="AN16" s="33"/>
      <c r="AO16" s="33"/>
      <c r="AP16" s="33"/>
      <c r="AQ16" s="33"/>
      <c r="AR16" s="33"/>
      <c r="AS16" s="33"/>
      <c r="AT16" s="33"/>
      <c r="AU16" s="33"/>
      <c r="AZ16" s="103" t="str">
        <f>IF( G32 &lt;&gt; "", G32*G32*H32*H32/($G$34*$G$34), "")</f>
        <v/>
      </c>
    </row>
    <row r="17" spans="2:52" x14ac:dyDescent="0.2">
      <c r="B17" s="67">
        <v>2</v>
      </c>
      <c r="C17" s="80" t="s">
        <v>346</v>
      </c>
      <c r="D17" s="176">
        <v>30</v>
      </c>
      <c r="E17" s="73">
        <v>0.33999999999999986</v>
      </c>
      <c r="F17" s="4" t="s">
        <v>6</v>
      </c>
      <c r="G17" s="72">
        <f t="shared" si="1"/>
        <v>0.17347257535438232</v>
      </c>
      <c r="H17" s="178">
        <f>IF(M35 = 0, " ",M35)</f>
        <v>-2.7777775043110371E-2</v>
      </c>
      <c r="J17" s="64" t="s">
        <v>100</v>
      </c>
      <c r="K17" s="71">
        <f t="shared" si="2"/>
        <v>30</v>
      </c>
      <c r="L17" s="18">
        <f>$K$17</f>
        <v>30</v>
      </c>
      <c r="M17" s="89">
        <f>IF( $K$17 = 0, Delta, $K$17*(1+Delta))</f>
        <v>30.000003000000003</v>
      </c>
      <c r="N17" s="72">
        <f t="shared" ref="N17:Z17" si="5">$K$17</f>
        <v>30</v>
      </c>
      <c r="O17" s="72">
        <f t="shared" si="5"/>
        <v>30</v>
      </c>
      <c r="P17" s="72">
        <f t="shared" si="5"/>
        <v>30</v>
      </c>
      <c r="Q17" s="72">
        <f t="shared" si="5"/>
        <v>30</v>
      </c>
      <c r="R17" s="72">
        <f t="shared" si="5"/>
        <v>30</v>
      </c>
      <c r="S17" s="72">
        <f t="shared" si="5"/>
        <v>30</v>
      </c>
      <c r="T17" s="72">
        <f t="shared" si="5"/>
        <v>30</v>
      </c>
      <c r="U17" s="72">
        <f t="shared" si="5"/>
        <v>30</v>
      </c>
      <c r="V17" s="72">
        <f t="shared" si="5"/>
        <v>30</v>
      </c>
      <c r="W17" s="72">
        <f t="shared" si="5"/>
        <v>30</v>
      </c>
      <c r="X17" s="72">
        <f t="shared" si="5"/>
        <v>30</v>
      </c>
      <c r="Y17" s="72">
        <f t="shared" si="5"/>
        <v>30</v>
      </c>
      <c r="Z17" s="72">
        <f t="shared" si="5"/>
        <v>30</v>
      </c>
      <c r="AD17" s="106"/>
      <c r="AE17" s="80" t="str">
        <f t="shared" si="4"/>
        <v>AC Voltage 2</v>
      </c>
      <c r="AF17" s="67">
        <v>2</v>
      </c>
      <c r="AG17" s="34">
        <v>0</v>
      </c>
      <c r="AH17" s="33">
        <v>1</v>
      </c>
      <c r="AI17" s="33"/>
      <c r="AJ17" s="33"/>
      <c r="AK17" s="33"/>
      <c r="AL17" s="33"/>
      <c r="AM17" s="33"/>
      <c r="AN17" s="33"/>
      <c r="AO17" s="33"/>
      <c r="AP17" s="33"/>
      <c r="AQ17" s="33"/>
      <c r="AR17" s="33"/>
      <c r="AS17" s="33"/>
      <c r="AT17" s="33"/>
      <c r="AU17" s="33"/>
    </row>
    <row r="18" spans="2:52" ht="12.75" customHeight="1" x14ac:dyDescent="0.2">
      <c r="B18" s="67">
        <v>3</v>
      </c>
      <c r="C18" s="80"/>
      <c r="D18" s="176"/>
      <c r="E18" s="72"/>
      <c r="F18" s="4"/>
      <c r="G18" s="72" t="str">
        <f t="shared" si="1"/>
        <v/>
      </c>
      <c r="H18" s="178" t="str">
        <f>IF(N35 = 0, " ",N35)</f>
        <v xml:space="preserve"> </v>
      </c>
      <c r="J18" s="64" t="s">
        <v>101</v>
      </c>
      <c r="K18" s="71">
        <f t="shared" si="2"/>
        <v>0</v>
      </c>
      <c r="L18" s="72">
        <f>$K$18</f>
        <v>0</v>
      </c>
      <c r="M18" s="72">
        <f>$K$18</f>
        <v>0</v>
      </c>
      <c r="N18" s="72">
        <f>IF( $K$18 = 0, Delta, $K$18*(1+Delta))</f>
        <v>9.9999999999999995E-8</v>
      </c>
      <c r="O18" s="72">
        <f t="shared" ref="O18:Z18" si="6">$K$18</f>
        <v>0</v>
      </c>
      <c r="P18" s="72">
        <f t="shared" si="6"/>
        <v>0</v>
      </c>
      <c r="Q18" s="72">
        <f t="shared" si="6"/>
        <v>0</v>
      </c>
      <c r="R18" s="72">
        <f t="shared" si="6"/>
        <v>0</v>
      </c>
      <c r="S18" s="72">
        <f t="shared" si="6"/>
        <v>0</v>
      </c>
      <c r="T18" s="72">
        <f t="shared" si="6"/>
        <v>0</v>
      </c>
      <c r="U18" s="72">
        <f t="shared" si="6"/>
        <v>0</v>
      </c>
      <c r="V18" s="72">
        <f t="shared" si="6"/>
        <v>0</v>
      </c>
      <c r="W18" s="72">
        <f t="shared" si="6"/>
        <v>0</v>
      </c>
      <c r="X18" s="72">
        <f t="shared" si="6"/>
        <v>0</v>
      </c>
      <c r="Y18" s="72">
        <f t="shared" si="6"/>
        <v>0</v>
      </c>
      <c r="Z18" s="72">
        <f t="shared" si="6"/>
        <v>0</v>
      </c>
      <c r="AD18" s="106"/>
      <c r="AE18" s="80" t="str">
        <f t="shared" si="4"/>
        <v/>
      </c>
      <c r="AF18" s="67">
        <v>3</v>
      </c>
      <c r="AG18" s="34">
        <v>0</v>
      </c>
      <c r="AH18" s="34">
        <v>0</v>
      </c>
      <c r="AI18" s="33">
        <v>1</v>
      </c>
      <c r="AJ18" s="33"/>
      <c r="AK18" s="33"/>
      <c r="AL18" s="33"/>
      <c r="AM18" s="33"/>
      <c r="AN18" s="33"/>
      <c r="AO18" s="33"/>
      <c r="AP18" s="33"/>
      <c r="AQ18" s="33"/>
      <c r="AR18" s="33"/>
      <c r="AS18" s="33"/>
      <c r="AT18" s="33"/>
      <c r="AU18" s="33"/>
    </row>
    <row r="19" spans="2:52" ht="12.75" customHeight="1" x14ac:dyDescent="0.2">
      <c r="B19" s="67">
        <v>4</v>
      </c>
      <c r="C19" s="80"/>
      <c r="D19" s="176"/>
      <c r="E19" s="72"/>
      <c r="F19" s="4"/>
      <c r="G19" s="72" t="str">
        <f t="shared" si="1"/>
        <v/>
      </c>
      <c r="H19" s="178" t="str">
        <f>IF(O35 = 0, " ",O35)</f>
        <v xml:space="preserve"> </v>
      </c>
      <c r="J19" s="64" t="s">
        <v>102</v>
      </c>
      <c r="K19" s="71">
        <f t="shared" si="2"/>
        <v>0</v>
      </c>
      <c r="L19" s="72">
        <f>$K$19</f>
        <v>0</v>
      </c>
      <c r="M19" s="72">
        <f>$K$19</f>
        <v>0</v>
      </c>
      <c r="N19" s="72">
        <f>$K$19</f>
        <v>0</v>
      </c>
      <c r="O19" s="72">
        <f>IF( $K$19 = 0, Delta, $K$19*(1+Delta))</f>
        <v>9.9999999999999995E-8</v>
      </c>
      <c r="P19" s="72">
        <f t="shared" ref="P19:Z19" si="7">$K$19</f>
        <v>0</v>
      </c>
      <c r="Q19" s="72">
        <f t="shared" si="7"/>
        <v>0</v>
      </c>
      <c r="R19" s="72">
        <f t="shared" si="7"/>
        <v>0</v>
      </c>
      <c r="S19" s="72">
        <f t="shared" si="7"/>
        <v>0</v>
      </c>
      <c r="T19" s="72">
        <f t="shared" si="7"/>
        <v>0</v>
      </c>
      <c r="U19" s="72">
        <f t="shared" si="7"/>
        <v>0</v>
      </c>
      <c r="V19" s="72">
        <f t="shared" si="7"/>
        <v>0</v>
      </c>
      <c r="W19" s="72">
        <f t="shared" si="7"/>
        <v>0</v>
      </c>
      <c r="X19" s="72">
        <f t="shared" si="7"/>
        <v>0</v>
      </c>
      <c r="Y19" s="72">
        <f t="shared" si="7"/>
        <v>0</v>
      </c>
      <c r="Z19" s="72">
        <f t="shared" si="7"/>
        <v>0</v>
      </c>
      <c r="AD19" s="106"/>
      <c r="AE19" s="80" t="str">
        <f t="shared" si="4"/>
        <v/>
      </c>
      <c r="AF19" s="67">
        <v>4</v>
      </c>
      <c r="AG19" s="34">
        <v>0</v>
      </c>
      <c r="AH19" s="34">
        <v>0</v>
      </c>
      <c r="AI19" s="34">
        <v>0</v>
      </c>
      <c r="AJ19" s="33">
        <v>1</v>
      </c>
      <c r="AK19" s="33"/>
      <c r="AL19" s="33"/>
      <c r="AM19" s="33"/>
      <c r="AN19" s="33"/>
      <c r="AO19" s="33"/>
      <c r="AP19" s="33"/>
      <c r="AQ19" s="33"/>
      <c r="AR19" s="33"/>
      <c r="AS19" s="33"/>
      <c r="AT19" s="33"/>
      <c r="AU19" s="33"/>
    </row>
    <row r="20" spans="2:52" x14ac:dyDescent="0.2">
      <c r="B20" s="67">
        <v>5</v>
      </c>
      <c r="C20" s="80"/>
      <c r="D20" s="176"/>
      <c r="E20" s="72"/>
      <c r="F20" s="4"/>
      <c r="G20" s="72" t="str">
        <f t="shared" si="1"/>
        <v/>
      </c>
      <c r="H20" s="178" t="str">
        <f>IF(P35 = 0, " ",P35)</f>
        <v xml:space="preserve"> </v>
      </c>
      <c r="J20" s="64" t="s">
        <v>43</v>
      </c>
      <c r="K20" s="71">
        <f t="shared" si="2"/>
        <v>0</v>
      </c>
      <c r="L20" s="72">
        <f>$K$20</f>
        <v>0</v>
      </c>
      <c r="M20" s="72">
        <f>$K$20</f>
        <v>0</v>
      </c>
      <c r="N20" s="72">
        <f>$K$20</f>
        <v>0</v>
      </c>
      <c r="O20" s="72">
        <f>$K$20</f>
        <v>0</v>
      </c>
      <c r="P20" s="72">
        <f>IF( $K$20 = 0, Delta, $K$20*(1+Delta))</f>
        <v>9.9999999999999995E-8</v>
      </c>
      <c r="Q20" s="72">
        <f t="shared" ref="Q20:Z20" si="8">$K$20</f>
        <v>0</v>
      </c>
      <c r="R20" s="72">
        <f t="shared" si="8"/>
        <v>0</v>
      </c>
      <c r="S20" s="72">
        <f t="shared" si="8"/>
        <v>0</v>
      </c>
      <c r="T20" s="72">
        <f t="shared" si="8"/>
        <v>0</v>
      </c>
      <c r="U20" s="72">
        <f t="shared" si="8"/>
        <v>0</v>
      </c>
      <c r="V20" s="72">
        <f t="shared" si="8"/>
        <v>0</v>
      </c>
      <c r="W20" s="72">
        <f t="shared" si="8"/>
        <v>0</v>
      </c>
      <c r="X20" s="72">
        <f t="shared" si="8"/>
        <v>0</v>
      </c>
      <c r="Y20" s="72">
        <f t="shared" si="8"/>
        <v>0</v>
      </c>
      <c r="Z20" s="72">
        <f t="shared" si="8"/>
        <v>0</v>
      </c>
      <c r="AD20" s="106"/>
      <c r="AE20" s="80" t="str">
        <f t="shared" si="4"/>
        <v/>
      </c>
      <c r="AF20" s="67">
        <v>5</v>
      </c>
      <c r="AG20" s="34">
        <v>0</v>
      </c>
      <c r="AH20" s="34">
        <v>0</v>
      </c>
      <c r="AI20" s="34">
        <v>0</v>
      </c>
      <c r="AJ20" s="34">
        <v>0</v>
      </c>
      <c r="AK20" s="33">
        <v>1</v>
      </c>
      <c r="AL20" s="33"/>
      <c r="AM20" s="33"/>
      <c r="AN20" s="33"/>
      <c r="AO20" s="33"/>
      <c r="AP20" s="33"/>
      <c r="AQ20" s="33"/>
      <c r="AR20" s="33"/>
      <c r="AS20" s="33"/>
      <c r="AT20" s="33"/>
      <c r="AU20" s="33"/>
    </row>
    <row r="21" spans="2:52" x14ac:dyDescent="0.2">
      <c r="B21" s="67">
        <v>6</v>
      </c>
      <c r="C21" s="80"/>
      <c r="D21" s="176"/>
      <c r="E21" s="72"/>
      <c r="F21" s="4"/>
      <c r="G21" s="72" t="str">
        <f t="shared" si="1"/>
        <v/>
      </c>
      <c r="H21" s="178" t="str">
        <f>IF(Q35 = 0, " ",Q35)</f>
        <v xml:space="preserve"> </v>
      </c>
      <c r="J21" s="64" t="s">
        <v>103</v>
      </c>
      <c r="K21" s="71">
        <f t="shared" si="2"/>
        <v>0</v>
      </c>
      <c r="L21" s="72">
        <f>$K$21</f>
        <v>0</v>
      </c>
      <c r="M21" s="72">
        <f>$K$21</f>
        <v>0</v>
      </c>
      <c r="N21" s="72">
        <f>$K$21</f>
        <v>0</v>
      </c>
      <c r="O21" s="72">
        <f>$K$21</f>
        <v>0</v>
      </c>
      <c r="P21" s="72">
        <f>$K$21</f>
        <v>0</v>
      </c>
      <c r="Q21" s="72">
        <f>IF( $K$21 = 0, Delta, $K$21*(1+Delta))</f>
        <v>9.9999999999999995E-8</v>
      </c>
      <c r="R21" s="72">
        <f t="shared" ref="R21:Z21" si="9">$K$21</f>
        <v>0</v>
      </c>
      <c r="S21" s="72">
        <f t="shared" si="9"/>
        <v>0</v>
      </c>
      <c r="T21" s="72">
        <f t="shared" si="9"/>
        <v>0</v>
      </c>
      <c r="U21" s="72">
        <f t="shared" si="9"/>
        <v>0</v>
      </c>
      <c r="V21" s="72">
        <f t="shared" si="9"/>
        <v>0</v>
      </c>
      <c r="W21" s="72">
        <f t="shared" si="9"/>
        <v>0</v>
      </c>
      <c r="X21" s="72">
        <f t="shared" si="9"/>
        <v>0</v>
      </c>
      <c r="Y21" s="72">
        <f t="shared" si="9"/>
        <v>0</v>
      </c>
      <c r="Z21" s="72">
        <f t="shared" si="9"/>
        <v>0</v>
      </c>
      <c r="AD21" s="106"/>
      <c r="AE21" s="80" t="str">
        <f t="shared" si="4"/>
        <v/>
      </c>
      <c r="AF21" s="67">
        <v>6</v>
      </c>
      <c r="AG21" s="34">
        <v>0</v>
      </c>
      <c r="AH21" s="34">
        <v>0</v>
      </c>
      <c r="AI21" s="34">
        <v>0</v>
      </c>
      <c r="AJ21" s="34">
        <v>0</v>
      </c>
      <c r="AK21" s="34">
        <v>0</v>
      </c>
      <c r="AL21" s="33">
        <v>1</v>
      </c>
      <c r="AM21" s="33"/>
      <c r="AN21" s="33"/>
      <c r="AO21" s="33"/>
      <c r="AP21" s="33"/>
      <c r="AQ21" s="33"/>
      <c r="AR21" s="33"/>
      <c r="AS21" s="33"/>
      <c r="AT21" s="33"/>
      <c r="AU21" s="33"/>
    </row>
    <row r="22" spans="2:52" x14ac:dyDescent="0.2">
      <c r="B22" s="67">
        <v>7</v>
      </c>
      <c r="C22" s="80"/>
      <c r="D22" s="176"/>
      <c r="E22" s="72"/>
      <c r="F22" s="4"/>
      <c r="G22" s="72" t="str">
        <f t="shared" si="1"/>
        <v/>
      </c>
      <c r="H22" s="178" t="str">
        <f>IF(R35 = 0, " ",R35)</f>
        <v xml:space="preserve"> </v>
      </c>
      <c r="J22" s="64" t="s">
        <v>104</v>
      </c>
      <c r="K22" s="71">
        <f t="shared" si="2"/>
        <v>0</v>
      </c>
      <c r="L22" s="72">
        <f t="shared" ref="L22:Q22" si="10">$K$22</f>
        <v>0</v>
      </c>
      <c r="M22" s="72">
        <f t="shared" si="10"/>
        <v>0</v>
      </c>
      <c r="N22" s="72">
        <f t="shared" si="10"/>
        <v>0</v>
      </c>
      <c r="O22" s="72">
        <f t="shared" si="10"/>
        <v>0</v>
      </c>
      <c r="P22" s="72">
        <f t="shared" si="10"/>
        <v>0</v>
      </c>
      <c r="Q22" s="72">
        <f t="shared" si="10"/>
        <v>0</v>
      </c>
      <c r="R22" s="72">
        <f>IF( $K$22 = 0, Delta, $K$22*(1+Delta))</f>
        <v>9.9999999999999995E-8</v>
      </c>
      <c r="S22" s="72">
        <f t="shared" ref="S22:Z22" si="11">$K$22</f>
        <v>0</v>
      </c>
      <c r="T22" s="72">
        <f t="shared" si="11"/>
        <v>0</v>
      </c>
      <c r="U22" s="72">
        <f t="shared" si="11"/>
        <v>0</v>
      </c>
      <c r="V22" s="72">
        <f t="shared" si="11"/>
        <v>0</v>
      </c>
      <c r="W22" s="72">
        <f t="shared" si="11"/>
        <v>0</v>
      </c>
      <c r="X22" s="72">
        <f t="shared" si="11"/>
        <v>0</v>
      </c>
      <c r="Y22" s="72">
        <f t="shared" si="11"/>
        <v>0</v>
      </c>
      <c r="Z22" s="72">
        <f t="shared" si="11"/>
        <v>0</v>
      </c>
      <c r="AD22" s="106"/>
      <c r="AE22" s="80" t="str">
        <f t="shared" si="4"/>
        <v/>
      </c>
      <c r="AF22" s="67">
        <v>7</v>
      </c>
      <c r="AG22" s="34">
        <v>0</v>
      </c>
      <c r="AH22" s="34">
        <v>0</v>
      </c>
      <c r="AI22" s="34">
        <v>0</v>
      </c>
      <c r="AJ22" s="34">
        <v>0</v>
      </c>
      <c r="AK22" s="34">
        <v>0</v>
      </c>
      <c r="AL22" s="34">
        <v>0</v>
      </c>
      <c r="AM22" s="33">
        <v>1</v>
      </c>
      <c r="AN22" s="33"/>
      <c r="AO22" s="33"/>
      <c r="AP22" s="33"/>
      <c r="AQ22" s="33"/>
      <c r="AR22" s="33"/>
      <c r="AS22" s="33"/>
      <c r="AT22" s="33"/>
      <c r="AU22" s="33"/>
    </row>
    <row r="23" spans="2:52" x14ac:dyDescent="0.2">
      <c r="B23" s="67">
        <v>8</v>
      </c>
      <c r="C23" s="80"/>
      <c r="D23" s="176"/>
      <c r="E23" s="72"/>
      <c r="F23" s="4"/>
      <c r="G23" s="72" t="str">
        <f t="shared" si="1"/>
        <v/>
      </c>
      <c r="H23" s="178" t="str">
        <f>IF(S35 = 0, " ",S35)</f>
        <v xml:space="preserve"> </v>
      </c>
      <c r="J23" s="64" t="s">
        <v>105</v>
      </c>
      <c r="K23" s="71">
        <f t="shared" si="2"/>
        <v>0</v>
      </c>
      <c r="L23" s="72">
        <f t="shared" ref="L23:R23" si="12">$K$23</f>
        <v>0</v>
      </c>
      <c r="M23" s="72">
        <f t="shared" si="12"/>
        <v>0</v>
      </c>
      <c r="N23" s="72">
        <f t="shared" si="12"/>
        <v>0</v>
      </c>
      <c r="O23" s="72">
        <f t="shared" si="12"/>
        <v>0</v>
      </c>
      <c r="P23" s="72">
        <f t="shared" si="12"/>
        <v>0</v>
      </c>
      <c r="Q23" s="72">
        <f t="shared" si="12"/>
        <v>0</v>
      </c>
      <c r="R23" s="72">
        <f t="shared" si="12"/>
        <v>0</v>
      </c>
      <c r="S23" s="72">
        <f>IF( $K$23 = 0, Delta, $K$23*(1+Delta))</f>
        <v>9.9999999999999995E-8</v>
      </c>
      <c r="T23" s="72">
        <f t="shared" ref="T23:Z23" si="13">$K$23</f>
        <v>0</v>
      </c>
      <c r="U23" s="72">
        <f t="shared" si="13"/>
        <v>0</v>
      </c>
      <c r="V23" s="72">
        <f t="shared" si="13"/>
        <v>0</v>
      </c>
      <c r="W23" s="72">
        <f t="shared" si="13"/>
        <v>0</v>
      </c>
      <c r="X23" s="72">
        <f t="shared" si="13"/>
        <v>0</v>
      </c>
      <c r="Y23" s="72">
        <f t="shared" si="13"/>
        <v>0</v>
      </c>
      <c r="Z23" s="72">
        <f t="shared" si="13"/>
        <v>0</v>
      </c>
      <c r="AD23" s="106"/>
      <c r="AE23" s="80" t="str">
        <f t="shared" si="4"/>
        <v/>
      </c>
      <c r="AF23" s="67">
        <v>8</v>
      </c>
      <c r="AG23" s="34">
        <v>0</v>
      </c>
      <c r="AH23" s="34">
        <v>0</v>
      </c>
      <c r="AI23" s="34">
        <v>0</v>
      </c>
      <c r="AJ23" s="34">
        <v>0</v>
      </c>
      <c r="AK23" s="34">
        <v>0</v>
      </c>
      <c r="AL23" s="34">
        <v>0</v>
      </c>
      <c r="AM23" s="34">
        <v>0</v>
      </c>
      <c r="AN23" s="33">
        <v>1</v>
      </c>
      <c r="AO23" s="33"/>
      <c r="AP23" s="33"/>
      <c r="AQ23" s="33"/>
      <c r="AR23" s="33"/>
      <c r="AS23" s="33"/>
      <c r="AT23" s="33"/>
      <c r="AU23" s="33"/>
    </row>
    <row r="24" spans="2:52" x14ac:dyDescent="0.2">
      <c r="B24" s="67">
        <v>9</v>
      </c>
      <c r="C24" s="80"/>
      <c r="D24" s="176"/>
      <c r="E24" s="72"/>
      <c r="F24" s="4"/>
      <c r="G24" s="72" t="str">
        <f t="shared" si="1"/>
        <v/>
      </c>
      <c r="H24" s="178" t="str">
        <f>IF(T35 = 0, " ",T35)</f>
        <v xml:space="preserve"> </v>
      </c>
      <c r="J24" s="64" t="s">
        <v>106</v>
      </c>
      <c r="K24" s="71">
        <f t="shared" si="2"/>
        <v>0</v>
      </c>
      <c r="L24" s="72">
        <f t="shared" ref="L24:S24" si="14">$K$24</f>
        <v>0</v>
      </c>
      <c r="M24" s="72">
        <f t="shared" si="14"/>
        <v>0</v>
      </c>
      <c r="N24" s="72">
        <f t="shared" si="14"/>
        <v>0</v>
      </c>
      <c r="O24" s="72">
        <f t="shared" si="14"/>
        <v>0</v>
      </c>
      <c r="P24" s="72">
        <f t="shared" si="14"/>
        <v>0</v>
      </c>
      <c r="Q24" s="72">
        <f t="shared" si="14"/>
        <v>0</v>
      </c>
      <c r="R24" s="72">
        <f t="shared" si="14"/>
        <v>0</v>
      </c>
      <c r="S24" s="72">
        <f t="shared" si="14"/>
        <v>0</v>
      </c>
      <c r="T24" s="72">
        <f>IF( $K$24 = 0, Delta, $K$24*(1+Delta))</f>
        <v>9.9999999999999995E-8</v>
      </c>
      <c r="U24" s="72">
        <f t="shared" ref="U24:Z24" si="15">$K$24</f>
        <v>0</v>
      </c>
      <c r="V24" s="72">
        <f t="shared" si="15"/>
        <v>0</v>
      </c>
      <c r="W24" s="72">
        <f t="shared" si="15"/>
        <v>0</v>
      </c>
      <c r="X24" s="72">
        <f t="shared" si="15"/>
        <v>0</v>
      </c>
      <c r="Y24" s="72">
        <f t="shared" si="15"/>
        <v>0</v>
      </c>
      <c r="Z24" s="72">
        <f t="shared" si="15"/>
        <v>0</v>
      </c>
      <c r="AD24" s="106"/>
      <c r="AE24" s="80" t="str">
        <f t="shared" si="4"/>
        <v/>
      </c>
      <c r="AF24" s="67">
        <v>9</v>
      </c>
      <c r="AG24" s="34">
        <v>0</v>
      </c>
      <c r="AH24" s="34">
        <v>0</v>
      </c>
      <c r="AI24" s="34">
        <v>0</v>
      </c>
      <c r="AJ24" s="34">
        <v>0</v>
      </c>
      <c r="AK24" s="34">
        <v>0</v>
      </c>
      <c r="AL24" s="34">
        <v>0</v>
      </c>
      <c r="AM24" s="34">
        <v>0</v>
      </c>
      <c r="AN24" s="34">
        <v>0</v>
      </c>
      <c r="AO24" s="33">
        <v>1</v>
      </c>
      <c r="AP24" s="33"/>
      <c r="AQ24" s="33"/>
      <c r="AR24" s="33"/>
      <c r="AS24" s="33"/>
      <c r="AT24" s="33"/>
      <c r="AU24" s="33"/>
    </row>
    <row r="25" spans="2:52" x14ac:dyDescent="0.2">
      <c r="B25" s="67">
        <v>10</v>
      </c>
      <c r="C25" s="80"/>
      <c r="D25" s="176"/>
      <c r="E25" s="72"/>
      <c r="F25" s="4"/>
      <c r="G25" s="72" t="str">
        <f t="shared" si="1"/>
        <v/>
      </c>
      <c r="H25" s="178" t="str">
        <f>IF(U35 = 0, " ",U35)</f>
        <v xml:space="preserve"> </v>
      </c>
      <c r="J25" s="64" t="s">
        <v>107</v>
      </c>
      <c r="K25" s="71">
        <f t="shared" si="2"/>
        <v>0</v>
      </c>
      <c r="L25" s="72">
        <f t="shared" ref="L25:Z30" si="16">$K25</f>
        <v>0</v>
      </c>
      <c r="M25" s="72">
        <f t="shared" si="16"/>
        <v>0</v>
      </c>
      <c r="N25" s="72">
        <f t="shared" si="16"/>
        <v>0</v>
      </c>
      <c r="O25" s="72">
        <f t="shared" si="16"/>
        <v>0</v>
      </c>
      <c r="P25" s="72">
        <f t="shared" si="16"/>
        <v>0</v>
      </c>
      <c r="Q25" s="72">
        <f t="shared" si="16"/>
        <v>0</v>
      </c>
      <c r="R25" s="72">
        <f t="shared" si="16"/>
        <v>0</v>
      </c>
      <c r="S25" s="72">
        <f t="shared" si="16"/>
        <v>0</v>
      </c>
      <c r="T25" s="72">
        <f t="shared" si="16"/>
        <v>0</v>
      </c>
      <c r="U25" s="72">
        <f>IF( $K25 = 0, Delta, $K25*(1+Delta))</f>
        <v>9.9999999999999995E-8</v>
      </c>
      <c r="V25" s="72">
        <f>$K25</f>
        <v>0</v>
      </c>
      <c r="W25" s="72">
        <f>$K25</f>
        <v>0</v>
      </c>
      <c r="X25" s="72">
        <f>$K25</f>
        <v>0</v>
      </c>
      <c r="Y25" s="72">
        <f>$K25</f>
        <v>0</v>
      </c>
      <c r="Z25" s="72">
        <f>$K25</f>
        <v>0</v>
      </c>
      <c r="AD25" s="106"/>
      <c r="AE25" s="80" t="str">
        <f t="shared" si="4"/>
        <v/>
      </c>
      <c r="AF25" s="67">
        <v>10</v>
      </c>
      <c r="AG25" s="34">
        <v>0</v>
      </c>
      <c r="AH25" s="34">
        <v>0</v>
      </c>
      <c r="AI25" s="34">
        <v>0</v>
      </c>
      <c r="AJ25" s="34">
        <v>0</v>
      </c>
      <c r="AK25" s="34">
        <v>0</v>
      </c>
      <c r="AL25" s="34">
        <v>0</v>
      </c>
      <c r="AM25" s="34">
        <v>0</v>
      </c>
      <c r="AN25" s="34">
        <v>0</v>
      </c>
      <c r="AO25" s="34">
        <v>0</v>
      </c>
      <c r="AP25" s="33">
        <v>1</v>
      </c>
      <c r="AQ25" s="33"/>
      <c r="AR25" s="33"/>
      <c r="AS25" s="33"/>
      <c r="AT25" s="33"/>
      <c r="AU25" s="33"/>
    </row>
    <row r="26" spans="2:52" x14ac:dyDescent="0.2">
      <c r="B26" s="67">
        <v>11</v>
      </c>
      <c r="C26" s="80"/>
      <c r="D26" s="176"/>
      <c r="E26" s="72"/>
      <c r="F26" s="4"/>
      <c r="G26" s="72" t="str">
        <f t="shared" si="1"/>
        <v/>
      </c>
      <c r="H26" s="178"/>
      <c r="J26" s="64" t="s">
        <v>162</v>
      </c>
      <c r="K26" s="71">
        <f t="shared" si="2"/>
        <v>0</v>
      </c>
      <c r="L26" s="72">
        <f t="shared" si="16"/>
        <v>0</v>
      </c>
      <c r="M26" s="72">
        <f t="shared" si="16"/>
        <v>0</v>
      </c>
      <c r="N26" s="72">
        <f t="shared" si="16"/>
        <v>0</v>
      </c>
      <c r="O26" s="72">
        <f t="shared" si="16"/>
        <v>0</v>
      </c>
      <c r="P26" s="72">
        <f t="shared" si="16"/>
        <v>0</v>
      </c>
      <c r="Q26" s="72">
        <f t="shared" si="16"/>
        <v>0</v>
      </c>
      <c r="R26" s="72">
        <f t="shared" si="16"/>
        <v>0</v>
      </c>
      <c r="S26" s="72">
        <f t="shared" si="16"/>
        <v>0</v>
      </c>
      <c r="T26" s="72">
        <f t="shared" si="16"/>
        <v>0</v>
      </c>
      <c r="U26" s="72">
        <f t="shared" si="16"/>
        <v>0</v>
      </c>
      <c r="V26" s="72">
        <f>IF( $K26 = 0, Delta, $K26*(1+Delta))</f>
        <v>9.9999999999999995E-8</v>
      </c>
      <c r="W26" s="72">
        <f t="shared" si="16"/>
        <v>0</v>
      </c>
      <c r="X26" s="72">
        <f t="shared" si="16"/>
        <v>0</v>
      </c>
      <c r="Y26" s="72">
        <f t="shared" si="16"/>
        <v>0</v>
      </c>
      <c r="Z26" s="72">
        <f t="shared" si="16"/>
        <v>0</v>
      </c>
      <c r="AD26" s="106"/>
      <c r="AE26" s="80" t="str">
        <f t="shared" si="4"/>
        <v/>
      </c>
      <c r="AF26" s="86">
        <v>11</v>
      </c>
      <c r="AG26" s="34">
        <v>0</v>
      </c>
      <c r="AH26" s="34">
        <v>0</v>
      </c>
      <c r="AI26" s="34">
        <v>0</v>
      </c>
      <c r="AJ26" s="34">
        <v>0</v>
      </c>
      <c r="AK26" s="34">
        <v>0</v>
      </c>
      <c r="AL26" s="34">
        <v>0</v>
      </c>
      <c r="AM26" s="34">
        <v>0</v>
      </c>
      <c r="AN26" s="34">
        <v>0</v>
      </c>
      <c r="AO26" s="34">
        <v>0</v>
      </c>
      <c r="AP26" s="88">
        <v>0</v>
      </c>
      <c r="AQ26" s="33">
        <v>1</v>
      </c>
      <c r="AR26" s="88"/>
      <c r="AS26" s="88"/>
      <c r="AT26" s="88"/>
      <c r="AU26" s="88"/>
    </row>
    <row r="27" spans="2:52" x14ac:dyDescent="0.2">
      <c r="B27" s="67">
        <v>12</v>
      </c>
      <c r="C27" s="80"/>
      <c r="D27" s="176"/>
      <c r="E27" s="72"/>
      <c r="F27" s="4"/>
      <c r="G27" s="72" t="str">
        <f t="shared" si="1"/>
        <v/>
      </c>
      <c r="H27" s="178"/>
      <c r="J27" s="64" t="s">
        <v>163</v>
      </c>
      <c r="K27" s="71">
        <f t="shared" si="2"/>
        <v>0</v>
      </c>
      <c r="L27" s="72">
        <f t="shared" si="16"/>
        <v>0</v>
      </c>
      <c r="M27" s="72">
        <f t="shared" si="16"/>
        <v>0</v>
      </c>
      <c r="N27" s="72">
        <f t="shared" si="16"/>
        <v>0</v>
      </c>
      <c r="O27" s="72">
        <f t="shared" si="16"/>
        <v>0</v>
      </c>
      <c r="P27" s="72">
        <f t="shared" si="16"/>
        <v>0</v>
      </c>
      <c r="Q27" s="72">
        <f t="shared" si="16"/>
        <v>0</v>
      </c>
      <c r="R27" s="72">
        <f t="shared" si="16"/>
        <v>0</v>
      </c>
      <c r="S27" s="72">
        <f t="shared" si="16"/>
        <v>0</v>
      </c>
      <c r="T27" s="72">
        <f t="shared" si="16"/>
        <v>0</v>
      </c>
      <c r="U27" s="72">
        <f t="shared" si="16"/>
        <v>0</v>
      </c>
      <c r="V27" s="72">
        <f t="shared" si="16"/>
        <v>0</v>
      </c>
      <c r="W27" s="72">
        <f>IF( $K27 = 0, Delta, $K27*(1+Delta))</f>
        <v>9.9999999999999995E-8</v>
      </c>
      <c r="X27" s="72">
        <f t="shared" si="16"/>
        <v>0</v>
      </c>
      <c r="Y27" s="72">
        <f t="shared" si="16"/>
        <v>0</v>
      </c>
      <c r="Z27" s="72">
        <f t="shared" si="16"/>
        <v>0</v>
      </c>
      <c r="AD27" s="106"/>
      <c r="AE27" s="80" t="str">
        <f t="shared" si="4"/>
        <v/>
      </c>
      <c r="AF27" s="86">
        <v>12</v>
      </c>
      <c r="AG27" s="34">
        <v>0</v>
      </c>
      <c r="AH27" s="34">
        <v>0</v>
      </c>
      <c r="AI27" s="34">
        <v>0</v>
      </c>
      <c r="AJ27" s="34">
        <v>0</v>
      </c>
      <c r="AK27" s="34">
        <v>0</v>
      </c>
      <c r="AL27" s="34">
        <v>0</v>
      </c>
      <c r="AM27" s="34">
        <v>0</v>
      </c>
      <c r="AN27" s="34">
        <v>0</v>
      </c>
      <c r="AO27" s="34">
        <v>0</v>
      </c>
      <c r="AP27" s="88">
        <v>0</v>
      </c>
      <c r="AQ27" s="88">
        <v>0</v>
      </c>
      <c r="AR27" s="33">
        <v>1</v>
      </c>
      <c r="AS27" s="88"/>
      <c r="AT27" s="88"/>
      <c r="AU27" s="88"/>
    </row>
    <row r="28" spans="2:52" x14ac:dyDescent="0.2">
      <c r="B28" s="67">
        <v>13</v>
      </c>
      <c r="C28" s="80"/>
      <c r="D28" s="176"/>
      <c r="E28" s="72"/>
      <c r="F28" s="4"/>
      <c r="G28" s="72" t="str">
        <f t="shared" si="1"/>
        <v/>
      </c>
      <c r="H28" s="178"/>
      <c r="J28" s="64" t="s">
        <v>164</v>
      </c>
      <c r="K28" s="71">
        <f t="shared" si="2"/>
        <v>0</v>
      </c>
      <c r="L28" s="72">
        <f t="shared" si="16"/>
        <v>0</v>
      </c>
      <c r="M28" s="72">
        <f t="shared" si="16"/>
        <v>0</v>
      </c>
      <c r="N28" s="72">
        <f t="shared" si="16"/>
        <v>0</v>
      </c>
      <c r="O28" s="72">
        <f t="shared" si="16"/>
        <v>0</v>
      </c>
      <c r="P28" s="72">
        <f t="shared" si="16"/>
        <v>0</v>
      </c>
      <c r="Q28" s="72">
        <f t="shared" si="16"/>
        <v>0</v>
      </c>
      <c r="R28" s="72">
        <f t="shared" si="16"/>
        <v>0</v>
      </c>
      <c r="S28" s="72">
        <f t="shared" si="16"/>
        <v>0</v>
      </c>
      <c r="T28" s="72">
        <f t="shared" si="16"/>
        <v>0</v>
      </c>
      <c r="U28" s="72">
        <f t="shared" si="16"/>
        <v>0</v>
      </c>
      <c r="V28" s="72">
        <f t="shared" si="16"/>
        <v>0</v>
      </c>
      <c r="W28" s="72">
        <f t="shared" si="16"/>
        <v>0</v>
      </c>
      <c r="X28" s="72">
        <f>IF( $K28 = 0, Delta, $K28*(1+Delta))</f>
        <v>9.9999999999999995E-8</v>
      </c>
      <c r="Y28" s="72">
        <f t="shared" si="16"/>
        <v>0</v>
      </c>
      <c r="Z28" s="72">
        <f t="shared" si="16"/>
        <v>0</v>
      </c>
      <c r="AD28" s="106"/>
      <c r="AE28" s="80" t="str">
        <f t="shared" si="4"/>
        <v/>
      </c>
      <c r="AF28" s="86">
        <v>13</v>
      </c>
      <c r="AG28" s="34">
        <v>0</v>
      </c>
      <c r="AH28" s="34">
        <v>0</v>
      </c>
      <c r="AI28" s="34">
        <v>0</v>
      </c>
      <c r="AJ28" s="34">
        <v>0</v>
      </c>
      <c r="AK28" s="34">
        <v>0</v>
      </c>
      <c r="AL28" s="34">
        <v>0</v>
      </c>
      <c r="AM28" s="34">
        <v>0</v>
      </c>
      <c r="AN28" s="34">
        <v>0</v>
      </c>
      <c r="AO28" s="34">
        <v>0</v>
      </c>
      <c r="AP28" s="88">
        <v>0</v>
      </c>
      <c r="AQ28" s="88">
        <v>0</v>
      </c>
      <c r="AR28" s="88">
        <v>0</v>
      </c>
      <c r="AS28" s="33">
        <v>1</v>
      </c>
      <c r="AT28" s="88"/>
      <c r="AU28" s="88"/>
    </row>
    <row r="29" spans="2:52" x14ac:dyDescent="0.2">
      <c r="B29" s="67">
        <v>14</v>
      </c>
      <c r="C29" s="80"/>
      <c r="D29" s="176"/>
      <c r="E29" s="72"/>
      <c r="F29" s="4"/>
      <c r="G29" s="72" t="str">
        <f t="shared" si="1"/>
        <v/>
      </c>
      <c r="H29" s="178"/>
      <c r="J29" s="64" t="s">
        <v>165</v>
      </c>
      <c r="K29" s="71">
        <f t="shared" si="2"/>
        <v>0</v>
      </c>
      <c r="L29" s="72">
        <f t="shared" si="16"/>
        <v>0</v>
      </c>
      <c r="M29" s="72">
        <f t="shared" si="16"/>
        <v>0</v>
      </c>
      <c r="N29" s="72">
        <f t="shared" si="16"/>
        <v>0</v>
      </c>
      <c r="O29" s="72">
        <f t="shared" si="16"/>
        <v>0</v>
      </c>
      <c r="P29" s="72">
        <f t="shared" si="16"/>
        <v>0</v>
      </c>
      <c r="Q29" s="72">
        <f t="shared" si="16"/>
        <v>0</v>
      </c>
      <c r="R29" s="72">
        <f t="shared" si="16"/>
        <v>0</v>
      </c>
      <c r="S29" s="72">
        <f t="shared" si="16"/>
        <v>0</v>
      </c>
      <c r="T29" s="72">
        <f t="shared" si="16"/>
        <v>0</v>
      </c>
      <c r="U29" s="72">
        <f t="shared" si="16"/>
        <v>0</v>
      </c>
      <c r="V29" s="72">
        <f t="shared" si="16"/>
        <v>0</v>
      </c>
      <c r="W29" s="72">
        <f t="shared" si="16"/>
        <v>0</v>
      </c>
      <c r="X29" s="72">
        <f t="shared" si="16"/>
        <v>0</v>
      </c>
      <c r="Y29" s="72">
        <f>IF( $K29 = 0, Delta, $K29*(1+Delta))</f>
        <v>9.9999999999999995E-8</v>
      </c>
      <c r="Z29" s="72">
        <f t="shared" si="16"/>
        <v>0</v>
      </c>
      <c r="AD29" s="106"/>
      <c r="AE29" s="80" t="str">
        <f t="shared" si="4"/>
        <v/>
      </c>
      <c r="AF29" s="86">
        <v>14</v>
      </c>
      <c r="AG29" s="34">
        <v>0</v>
      </c>
      <c r="AH29" s="34">
        <v>0</v>
      </c>
      <c r="AI29" s="34">
        <v>0</v>
      </c>
      <c r="AJ29" s="34">
        <v>0</v>
      </c>
      <c r="AK29" s="34">
        <v>0</v>
      </c>
      <c r="AL29" s="34">
        <v>0</v>
      </c>
      <c r="AM29" s="34">
        <v>0</v>
      </c>
      <c r="AN29" s="34">
        <v>0</v>
      </c>
      <c r="AO29" s="34">
        <v>0</v>
      </c>
      <c r="AP29" s="88">
        <v>0</v>
      </c>
      <c r="AQ29" s="88">
        <v>0</v>
      </c>
      <c r="AR29" s="88">
        <v>0</v>
      </c>
      <c r="AS29" s="88">
        <v>0</v>
      </c>
      <c r="AT29" s="33">
        <v>1</v>
      </c>
      <c r="AU29" s="88"/>
    </row>
    <row r="30" spans="2:52" x14ac:dyDescent="0.2">
      <c r="B30" s="67">
        <v>15</v>
      </c>
      <c r="C30" s="80"/>
      <c r="D30" s="176"/>
      <c r="E30" s="72"/>
      <c r="F30" s="4"/>
      <c r="G30" s="72" t="str">
        <f t="shared" si="1"/>
        <v/>
      </c>
      <c r="H30" s="178"/>
      <c r="J30" s="64" t="s">
        <v>166</v>
      </c>
      <c r="K30" s="71">
        <f t="shared" si="2"/>
        <v>0</v>
      </c>
      <c r="L30" s="72">
        <f t="shared" si="16"/>
        <v>0</v>
      </c>
      <c r="M30" s="72">
        <f t="shared" si="16"/>
        <v>0</v>
      </c>
      <c r="N30" s="72">
        <f t="shared" si="16"/>
        <v>0</v>
      </c>
      <c r="O30" s="72">
        <f t="shared" si="16"/>
        <v>0</v>
      </c>
      <c r="P30" s="72">
        <f t="shared" si="16"/>
        <v>0</v>
      </c>
      <c r="Q30" s="72">
        <f t="shared" si="16"/>
        <v>0</v>
      </c>
      <c r="R30" s="72">
        <f t="shared" si="16"/>
        <v>0</v>
      </c>
      <c r="S30" s="72">
        <f t="shared" si="16"/>
        <v>0</v>
      </c>
      <c r="T30" s="72">
        <f t="shared" si="16"/>
        <v>0</v>
      </c>
      <c r="U30" s="72">
        <f t="shared" si="16"/>
        <v>0</v>
      </c>
      <c r="V30" s="72">
        <f t="shared" si="16"/>
        <v>0</v>
      </c>
      <c r="W30" s="72">
        <f t="shared" si="16"/>
        <v>0</v>
      </c>
      <c r="X30" s="72">
        <f t="shared" si="16"/>
        <v>0</v>
      </c>
      <c r="Y30" s="72">
        <f t="shared" si="16"/>
        <v>0</v>
      </c>
      <c r="Z30" s="72">
        <f>IF( $K30 = 0, Delta, $K30*(1+Delta))</f>
        <v>9.9999999999999995E-8</v>
      </c>
      <c r="AD30" s="106"/>
      <c r="AE30" s="80" t="str">
        <f t="shared" si="4"/>
        <v/>
      </c>
      <c r="AF30" s="86">
        <v>15</v>
      </c>
      <c r="AG30" s="34">
        <v>0</v>
      </c>
      <c r="AH30" s="34">
        <v>0</v>
      </c>
      <c r="AI30" s="34">
        <v>0</v>
      </c>
      <c r="AJ30" s="34">
        <v>0</v>
      </c>
      <c r="AK30" s="34">
        <v>0</v>
      </c>
      <c r="AL30" s="34">
        <v>0</v>
      </c>
      <c r="AM30" s="34">
        <v>0</v>
      </c>
      <c r="AN30" s="34">
        <v>0</v>
      </c>
      <c r="AO30" s="34">
        <v>0</v>
      </c>
      <c r="AP30" s="88">
        <v>0</v>
      </c>
      <c r="AQ30" s="88">
        <v>0</v>
      </c>
      <c r="AR30" s="88">
        <v>0</v>
      </c>
      <c r="AS30" s="88">
        <v>0</v>
      </c>
      <c r="AT30" s="88">
        <v>0</v>
      </c>
      <c r="AU30" s="33">
        <v>1</v>
      </c>
    </row>
    <row r="31" spans="2:52" hidden="1" x14ac:dyDescent="0.2">
      <c r="B31" s="67" t="s">
        <v>120</v>
      </c>
      <c r="C31" s="68"/>
      <c r="D31" s="69"/>
      <c r="E31" s="70"/>
      <c r="F31" s="70"/>
      <c r="G31" s="69"/>
      <c r="H31" s="14"/>
      <c r="K31" s="71"/>
      <c r="L31" s="18"/>
      <c r="M31" s="72"/>
      <c r="N31" s="72"/>
      <c r="O31" s="72"/>
      <c r="P31" s="72"/>
      <c r="Q31" s="72"/>
      <c r="R31" s="72"/>
      <c r="S31" s="72"/>
      <c r="T31" s="72"/>
      <c r="U31" s="72"/>
      <c r="AD31" s="106"/>
      <c r="AF31" s="12" t="s">
        <v>141</v>
      </c>
      <c r="AG31" s="108">
        <v>0</v>
      </c>
      <c r="AH31" s="12">
        <v>0</v>
      </c>
      <c r="AI31" s="12">
        <v>0</v>
      </c>
      <c r="AJ31" s="12">
        <v>0</v>
      </c>
      <c r="AK31" s="12">
        <v>0</v>
      </c>
      <c r="AL31" s="12">
        <v>0</v>
      </c>
      <c r="AM31" s="108">
        <v>0</v>
      </c>
      <c r="AN31" s="12">
        <v>0</v>
      </c>
      <c r="AO31" s="12">
        <v>0</v>
      </c>
      <c r="AP31" s="12">
        <v>0</v>
      </c>
      <c r="AQ31" s="87">
        <v>0</v>
      </c>
      <c r="AR31" s="87">
        <v>0</v>
      </c>
      <c r="AS31" s="87">
        <v>0</v>
      </c>
      <c r="AT31" s="87">
        <v>0</v>
      </c>
      <c r="AU31" s="87">
        <v>15</v>
      </c>
      <c r="AZ31" s="103" t="str">
        <f>IF( G46 &lt;&gt; "", G46*G46*H46*H46/($G$34*$G$34), "")</f>
        <v/>
      </c>
    </row>
    <row r="32" spans="2:52" ht="15.75" x14ac:dyDescent="0.2">
      <c r="B32" s="338" t="s">
        <v>115</v>
      </c>
      <c r="C32" s="338"/>
      <c r="D32" s="338"/>
      <c r="E32" s="338"/>
      <c r="F32" s="338"/>
      <c r="G32" s="338"/>
      <c r="H32" s="338"/>
      <c r="AD32" s="107"/>
      <c r="AE32" s="104"/>
      <c r="AF32" s="339" t="s">
        <v>142</v>
      </c>
      <c r="AG32" s="340"/>
      <c r="AH32" s="340"/>
      <c r="AI32" s="340"/>
      <c r="AJ32" s="340"/>
      <c r="AK32" s="340"/>
      <c r="AL32" s="340"/>
      <c r="AM32" s="340"/>
      <c r="AN32" s="340"/>
      <c r="AO32" s="340"/>
      <c r="AP32" s="340"/>
      <c r="AQ32" s="340"/>
      <c r="AR32" s="340"/>
      <c r="AS32" s="340"/>
      <c r="AT32" s="340"/>
      <c r="AU32" s="341"/>
    </row>
    <row r="33" spans="2:29" ht="24" customHeight="1" x14ac:dyDescent="0.2">
      <c r="B33" s="351" t="s">
        <v>95</v>
      </c>
      <c r="C33" s="352"/>
      <c r="D33" s="110" t="s">
        <v>121</v>
      </c>
      <c r="E33" s="110" t="s">
        <v>347</v>
      </c>
      <c r="F33" s="110" t="s">
        <v>348</v>
      </c>
      <c r="G33" s="11" t="s">
        <v>340</v>
      </c>
      <c r="H33" s="110"/>
    </row>
    <row r="34" spans="2:29" ht="50.1" customHeight="1" thickBot="1" x14ac:dyDescent="0.25">
      <c r="B34" s="343" t="s">
        <v>352</v>
      </c>
      <c r="C34" s="344"/>
      <c r="D34" s="72">
        <f>D16/D17</f>
        <v>0.83333333333333337</v>
      </c>
      <c r="E34" s="282">
        <f xml:space="preserve"> vbaIsError(ResDwn((D34 - D41), G38))</f>
        <v>0.81990000000000007</v>
      </c>
      <c r="F34" s="282">
        <f xml:space="preserve"> vbaIsError(ResUp((D34 + D41), G38))</f>
        <v>0.8468</v>
      </c>
      <c r="G34" s="72">
        <f xml:space="preserve"> D41</f>
        <v>1.3514509157646995E-2</v>
      </c>
      <c r="H34" s="110"/>
      <c r="J34" s="64" t="s">
        <v>116</v>
      </c>
      <c r="K34" s="72">
        <f>K16/K17</f>
        <v>0.83333333333333337</v>
      </c>
      <c r="L34" s="72">
        <f t="shared" ref="L34:Z34" si="17">L16/L17</f>
        <v>0.83333341666666672</v>
      </c>
      <c r="M34" s="72">
        <f t="shared" si="17"/>
        <v>0.83333325000000824</v>
      </c>
      <c r="N34" s="72">
        <f t="shared" si="17"/>
        <v>0.83333333333333337</v>
      </c>
      <c r="O34" s="72">
        <f t="shared" si="17"/>
        <v>0.83333333333333337</v>
      </c>
      <c r="P34" s="72">
        <f t="shared" si="17"/>
        <v>0.83333333333333337</v>
      </c>
      <c r="Q34" s="72">
        <f t="shared" si="17"/>
        <v>0.83333333333333337</v>
      </c>
      <c r="R34" s="72">
        <f t="shared" si="17"/>
        <v>0.83333333333333337</v>
      </c>
      <c r="S34" s="72">
        <f t="shared" si="17"/>
        <v>0.83333333333333337</v>
      </c>
      <c r="T34" s="72">
        <f t="shared" si="17"/>
        <v>0.83333333333333337</v>
      </c>
      <c r="U34" s="72">
        <f t="shared" si="17"/>
        <v>0.83333333333333337</v>
      </c>
      <c r="V34" s="72">
        <f t="shared" si="17"/>
        <v>0.83333333333333337</v>
      </c>
      <c r="W34" s="72">
        <f t="shared" si="17"/>
        <v>0.83333333333333337</v>
      </c>
      <c r="X34" s="72">
        <f t="shared" si="17"/>
        <v>0.83333333333333337</v>
      </c>
      <c r="Y34" s="72">
        <f t="shared" si="17"/>
        <v>0.83333333333333337</v>
      </c>
      <c r="Z34" s="72">
        <f t="shared" si="17"/>
        <v>0.83333333333333337</v>
      </c>
      <c r="AA34" s="76"/>
      <c r="AB34" s="77"/>
      <c r="AC34" s="66"/>
    </row>
    <row r="35" spans="2:29" ht="24.75" customHeight="1" x14ac:dyDescent="0.2">
      <c r="B35" s="345" t="s">
        <v>339</v>
      </c>
      <c r="C35" s="345"/>
      <c r="D35" s="346"/>
      <c r="E35" s="264"/>
      <c r="F35" s="274"/>
      <c r="G35" s="274"/>
      <c r="H35" s="275"/>
      <c r="J35" s="64" t="s">
        <v>117</v>
      </c>
      <c r="L35" s="78">
        <f t="shared" ref="L35:Z35" si="18">IF( L11 = 0, (L34-Eq)/Delta, (L34-Eq)/(Delta*L11))</f>
        <v>3.3333333337992599E-2</v>
      </c>
      <c r="M35" s="78">
        <f t="shared" si="18"/>
        <v>-2.7777775043110371E-2</v>
      </c>
      <c r="N35" s="78">
        <f t="shared" si="18"/>
        <v>0</v>
      </c>
      <c r="O35" s="78">
        <f t="shared" si="18"/>
        <v>0</v>
      </c>
      <c r="P35" s="78">
        <f t="shared" si="18"/>
        <v>0</v>
      </c>
      <c r="Q35" s="78">
        <f t="shared" si="18"/>
        <v>0</v>
      </c>
      <c r="R35" s="78">
        <f t="shared" si="18"/>
        <v>0</v>
      </c>
      <c r="S35" s="78">
        <f t="shared" si="18"/>
        <v>0</v>
      </c>
      <c r="T35" s="78">
        <f t="shared" si="18"/>
        <v>0</v>
      </c>
      <c r="U35" s="78">
        <f t="shared" si="18"/>
        <v>0</v>
      </c>
      <c r="V35" s="78">
        <f t="shared" si="18"/>
        <v>0</v>
      </c>
      <c r="W35" s="78">
        <f t="shared" si="18"/>
        <v>0</v>
      </c>
      <c r="X35" s="78">
        <f t="shared" si="18"/>
        <v>0</v>
      </c>
      <c r="Y35" s="78">
        <f t="shared" si="18"/>
        <v>0</v>
      </c>
      <c r="Z35" s="78">
        <f t="shared" si="18"/>
        <v>0</v>
      </c>
    </row>
    <row r="36" spans="2:29" ht="19.5" customHeight="1" thickBot="1" x14ac:dyDescent="0.25">
      <c r="B36" s="347" t="s">
        <v>124</v>
      </c>
      <c r="C36" s="348"/>
      <c r="D36" s="179">
        <f xml:space="preserve"> IF( ISERROR( SQRT( TlrCorSq(G16:G30, H16:H30, AG16:AU30))), 0, SQRT(TlrCorSq(G16:G30, H16:H30, AG16:AU30)) )</f>
        <v>6.8952844359629686E-3</v>
      </c>
      <c r="E36" s="99"/>
      <c r="F36" s="276"/>
      <c r="G36" s="276"/>
      <c r="H36" s="277"/>
      <c r="J36" s="64" t="s">
        <v>118</v>
      </c>
      <c r="L36" s="72">
        <f t="shared" ref="L36:Z36" si="19">L35*L13</f>
        <v>4.9320634176277314E-3</v>
      </c>
      <c r="M36" s="72">
        <f t="shared" si="19"/>
        <v>-4.8186821743430447E-3</v>
      </c>
      <c r="N36" s="72" t="e">
        <f t="shared" si="19"/>
        <v>#VALUE!</v>
      </c>
      <c r="O36" s="72" t="e">
        <f t="shared" si="19"/>
        <v>#VALUE!</v>
      </c>
      <c r="P36" s="72" t="e">
        <f t="shared" si="19"/>
        <v>#VALUE!</v>
      </c>
      <c r="Q36" s="72" t="e">
        <f t="shared" si="19"/>
        <v>#VALUE!</v>
      </c>
      <c r="R36" s="72" t="e">
        <f t="shared" si="19"/>
        <v>#VALUE!</v>
      </c>
      <c r="S36" s="72" t="e">
        <f t="shared" si="19"/>
        <v>#VALUE!</v>
      </c>
      <c r="T36" s="72" t="e">
        <f t="shared" si="19"/>
        <v>#VALUE!</v>
      </c>
      <c r="U36" s="72" t="e">
        <f t="shared" si="19"/>
        <v>#VALUE!</v>
      </c>
      <c r="V36" s="72" t="e">
        <f t="shared" si="19"/>
        <v>#VALUE!</v>
      </c>
      <c r="W36" s="72" t="e">
        <f t="shared" si="19"/>
        <v>#VALUE!</v>
      </c>
      <c r="X36" s="72" t="e">
        <f t="shared" si="19"/>
        <v>#VALUE!</v>
      </c>
      <c r="Y36" s="72" t="e">
        <f t="shared" si="19"/>
        <v>#VALUE!</v>
      </c>
      <c r="Z36" s="72" t="e">
        <f t="shared" si="19"/>
        <v>#VALUE!</v>
      </c>
    </row>
    <row r="37" spans="2:29" ht="10.5" hidden="1" customHeight="1" thickBot="1" x14ac:dyDescent="0.25">
      <c r="B37" s="349"/>
      <c r="C37" s="350"/>
      <c r="D37" s="18"/>
      <c r="E37" s="64"/>
      <c r="F37" s="276"/>
      <c r="G37" s="276"/>
      <c r="H37" s="277"/>
      <c r="J37" s="64" t="s">
        <v>119</v>
      </c>
      <c r="L37" s="72">
        <f t="shared" ref="L37:Z37" si="20">IF(ISERROR(L36^4/L12), 0, L36^4/L12)</f>
        <v>0</v>
      </c>
      <c r="M37" s="72">
        <f t="shared" si="20"/>
        <v>0</v>
      </c>
      <c r="N37" s="72">
        <f t="shared" si="20"/>
        <v>0</v>
      </c>
      <c r="O37" s="72">
        <f t="shared" si="20"/>
        <v>0</v>
      </c>
      <c r="P37" s="72">
        <f t="shared" si="20"/>
        <v>0</v>
      </c>
      <c r="Q37" s="72">
        <f t="shared" si="20"/>
        <v>0</v>
      </c>
      <c r="R37" s="72">
        <f t="shared" si="20"/>
        <v>0</v>
      </c>
      <c r="S37" s="72">
        <f t="shared" si="20"/>
        <v>0</v>
      </c>
      <c r="T37" s="72">
        <f t="shared" si="20"/>
        <v>0</v>
      </c>
      <c r="U37" s="72">
        <f t="shared" si="20"/>
        <v>0</v>
      </c>
      <c r="V37" s="72">
        <f t="shared" si="20"/>
        <v>0</v>
      </c>
      <c r="W37" s="72">
        <f t="shared" si="20"/>
        <v>0</v>
      </c>
      <c r="X37" s="72">
        <f t="shared" si="20"/>
        <v>0</v>
      </c>
      <c r="Y37" s="72">
        <f t="shared" si="20"/>
        <v>0</v>
      </c>
      <c r="Z37" s="72">
        <f t="shared" si="20"/>
        <v>0</v>
      </c>
    </row>
    <row r="38" spans="2:29" ht="21.75" customHeight="1" thickBot="1" x14ac:dyDescent="0.25">
      <c r="B38" s="347" t="s">
        <v>0</v>
      </c>
      <c r="C38" s="348"/>
      <c r="D38" s="283">
        <v>0.95</v>
      </c>
      <c r="E38" s="280" t="s">
        <v>304</v>
      </c>
      <c r="F38" s="276"/>
      <c r="G38" s="281">
        <v>1E-4</v>
      </c>
      <c r="H38" s="277"/>
    </row>
    <row r="39" spans="2:29" ht="21.75" hidden="1" customHeight="1" x14ac:dyDescent="0.2">
      <c r="B39" s="347"/>
      <c r="C39" s="348"/>
      <c r="D39" s="19"/>
      <c r="E39" s="273"/>
      <c r="F39" s="276"/>
      <c r="G39" s="276"/>
      <c r="H39" s="277"/>
      <c r="AC39" s="111" t="b">
        <v>0</v>
      </c>
    </row>
    <row r="40" spans="2:29" ht="21.75" customHeight="1" x14ac:dyDescent="0.2">
      <c r="B40" s="347" t="s">
        <v>38</v>
      </c>
      <c r="C40" s="348"/>
      <c r="D40" s="130">
        <f>IF(ISERROR(TINV(1 - D38,D39)), NORMSINV((1 + D38)/2), TINV(1 - D38,D39))</f>
        <v>1.9599639845400536</v>
      </c>
      <c r="E40" s="265"/>
      <c r="F40" s="276"/>
      <c r="G40" s="276"/>
      <c r="H40" s="277"/>
    </row>
    <row r="41" spans="2:29" ht="21.75" customHeight="1" x14ac:dyDescent="0.2">
      <c r="B41" s="347" t="s">
        <v>340</v>
      </c>
      <c r="C41" s="348"/>
      <c r="D41" s="180">
        <f xml:space="preserve"> D36*D40</f>
        <v>1.3514509157646995E-2</v>
      </c>
      <c r="E41" s="266"/>
      <c r="F41" s="278"/>
      <c r="G41" s="278"/>
      <c r="H41" s="279"/>
    </row>
    <row r="42" spans="2:29" x14ac:dyDescent="0.2">
      <c r="B42" s="342"/>
      <c r="C42" s="342"/>
      <c r="D42" s="342"/>
      <c r="E42" s="342"/>
      <c r="F42" s="342"/>
      <c r="G42" s="342"/>
      <c r="H42" s="342"/>
    </row>
  </sheetData>
  <sheetProtection sheet="1" objects="1" scenarios="1" formatCells="0" formatColumns="0" formatRows="0" sort="0" autoFilter="0"/>
  <mergeCells count="40">
    <mergeCell ref="B4:C4"/>
    <mergeCell ref="D4:H4"/>
    <mergeCell ref="B1:H1"/>
    <mergeCell ref="B2:C2"/>
    <mergeCell ref="D2:H2"/>
    <mergeCell ref="B3:C3"/>
    <mergeCell ref="D3:H3"/>
    <mergeCell ref="B5:C5"/>
    <mergeCell ref="D5:H5"/>
    <mergeCell ref="B6:C6"/>
    <mergeCell ref="D6:H6"/>
    <mergeCell ref="B7:C7"/>
    <mergeCell ref="D7:H7"/>
    <mergeCell ref="B8:C8"/>
    <mergeCell ref="D8:H8"/>
    <mergeCell ref="B9:C9"/>
    <mergeCell ref="D9:H9"/>
    <mergeCell ref="B10:C10"/>
    <mergeCell ref="D10:H10"/>
    <mergeCell ref="B11:C11"/>
    <mergeCell ref="D11:H11"/>
    <mergeCell ref="B12:C12"/>
    <mergeCell ref="D12:H12"/>
    <mergeCell ref="B13:C13"/>
    <mergeCell ref="D13:H13"/>
    <mergeCell ref="AF14:AU14"/>
    <mergeCell ref="B15:C15"/>
    <mergeCell ref="B32:H32"/>
    <mergeCell ref="AF32:AU32"/>
    <mergeCell ref="B42:H42"/>
    <mergeCell ref="B34:C34"/>
    <mergeCell ref="B35:D35"/>
    <mergeCell ref="B36:C36"/>
    <mergeCell ref="B37:C37"/>
    <mergeCell ref="B38:C38"/>
    <mergeCell ref="B39:C39"/>
    <mergeCell ref="B40:C40"/>
    <mergeCell ref="B41:C41"/>
    <mergeCell ref="B33:C33"/>
    <mergeCell ref="B14:H14"/>
  </mergeCells>
  <dataValidations disablePrompts="1" count="1">
    <dataValidation type="list" showInputMessage="1" showErrorMessage="1" sqref="F16:F30" xr:uid="{00000000-0002-0000-0300-000000000000}">
      <formula1 xml:space="preserve"> ErrorDist</formula1>
    </dataValidation>
  </dataValidations>
  <printOptions horizontalCentered="1"/>
  <pageMargins left="0.75" right="0.75" top="1" bottom="1" header="0.5" footer="0.5"/>
  <pageSetup scale="6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1569" r:id="rId4" name="btnUncReturn">
              <controlPr defaultSize="0" print="0" autoFill="0" autoPict="0" macro="[0]!EqTolerance.btnEqReturn_click">
                <anchor>
                  <from>
                    <xdr:col>0</xdr:col>
                    <xdr:colOff>66675</xdr:colOff>
                    <xdr:row>0</xdr:row>
                    <xdr:rowOff>66675</xdr:rowOff>
                  </from>
                  <to>
                    <xdr:col>0</xdr:col>
                    <xdr:colOff>1038225</xdr:colOff>
                    <xdr:row>1</xdr:row>
                    <xdr:rowOff>28575</xdr:rowOff>
                  </to>
                </anchor>
              </controlPr>
            </control>
          </mc:Choice>
        </mc:AlternateContent>
        <mc:AlternateContent xmlns:mc="http://schemas.openxmlformats.org/markup-compatibility/2006">
          <mc:Choice Requires="x14">
            <control shapeId="621570" r:id="rId5" name="btnCancel">
              <controlPr defaultSize="0" print="0" autoFill="0" autoPict="0" macro="[0]!EqTolerance.btnEqCancel_click">
                <anchor>
                  <from>
                    <xdr:col>0</xdr:col>
                    <xdr:colOff>66675</xdr:colOff>
                    <xdr:row>1</xdr:row>
                    <xdr:rowOff>47625</xdr:rowOff>
                  </from>
                  <to>
                    <xdr:col>0</xdr:col>
                    <xdr:colOff>1038225</xdr:colOff>
                    <xdr:row>2</xdr:row>
                    <xdr:rowOff>85725</xdr:rowOff>
                  </to>
                </anchor>
              </controlPr>
            </control>
          </mc:Choice>
        </mc:AlternateContent>
        <mc:AlternateContent xmlns:mc="http://schemas.openxmlformats.org/markup-compatibility/2006">
          <mc:Choice Requires="x14">
            <control shapeId="621571" r:id="rId6" name="btnBudget">
              <controlPr defaultSize="0" print="0" autoFill="0" autoPict="0" macro="[0]!EqTolerance.btnBudget_Click">
                <anchor>
                  <from>
                    <xdr:col>0</xdr:col>
                    <xdr:colOff>66675</xdr:colOff>
                    <xdr:row>15</xdr:row>
                    <xdr:rowOff>28575</xdr:rowOff>
                  </from>
                  <to>
                    <xdr:col>0</xdr:col>
                    <xdr:colOff>1038225</xdr:colOff>
                    <xdr:row>17</xdr:row>
                    <xdr:rowOff>114300</xdr:rowOff>
                  </to>
                </anchor>
              </controlPr>
            </control>
          </mc:Choice>
        </mc:AlternateContent>
        <mc:AlternateContent xmlns:mc="http://schemas.openxmlformats.org/markup-compatibility/2006">
          <mc:Choice Requires="x14">
            <control shapeId="621572" r:id="rId7" name="btnRep">
              <controlPr defaultSize="0" print="0" autoFill="0" autoPict="0" macro="[0]!EqTolerance.btnMatrix_Click">
                <anchor>
                  <from>
                    <xdr:col>0</xdr:col>
                    <xdr:colOff>66675</xdr:colOff>
                    <xdr:row>17</xdr:row>
                    <xdr:rowOff>152400</xdr:rowOff>
                  </from>
                  <to>
                    <xdr:col>0</xdr:col>
                    <xdr:colOff>1038225</xdr:colOff>
                    <xdr:row>20</xdr:row>
                    <xdr:rowOff>76200</xdr:rowOff>
                  </to>
                </anchor>
              </controlPr>
            </control>
          </mc:Choice>
        </mc:AlternateContent>
        <mc:AlternateContent xmlns:mc="http://schemas.openxmlformats.org/markup-compatibility/2006">
          <mc:Choice Requires="x14">
            <control shapeId="621573" r:id="rId8" name="Button 5">
              <controlPr defaultSize="0" print="0" autoFill="0" autoPict="0" macro="[0]!EqTolerance.btnReset_Click">
                <anchor>
                  <from>
                    <xdr:col>8</xdr:col>
                    <xdr:colOff>3990975</xdr:colOff>
                    <xdr:row>12</xdr:row>
                    <xdr:rowOff>0</xdr:rowOff>
                  </from>
                  <to>
                    <xdr:col>30</xdr:col>
                    <xdr:colOff>1304925</xdr:colOff>
                    <xdr:row>12</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olToolData">
    <pageSetUpPr fitToPage="1"/>
  </sheetPr>
  <dimension ref="A1:ID3"/>
  <sheetViews>
    <sheetView showGridLines="0" topLeftCell="BC1" zoomScale="95" zoomScaleNormal="95" workbookViewId="0">
      <selection activeCell="B3" sqref="B3"/>
    </sheetView>
  </sheetViews>
  <sheetFormatPr defaultColWidth="8.85546875" defaultRowHeight="12.75" x14ac:dyDescent="0.2"/>
  <cols>
    <col min="1" max="1" width="11.140625" style="39" customWidth="1"/>
    <col min="2" max="2" width="13.42578125" style="39" customWidth="1"/>
    <col min="3" max="3" width="12.140625" style="39" customWidth="1"/>
    <col min="4" max="4" width="12.42578125" style="39" customWidth="1"/>
    <col min="5" max="5" width="14.42578125" style="39" customWidth="1"/>
    <col min="6" max="6" width="12.5703125" style="39" customWidth="1"/>
    <col min="7" max="7" width="12.140625" style="39" customWidth="1"/>
    <col min="8" max="8" width="14.42578125" style="39" customWidth="1"/>
    <col min="9" max="9" width="12.5703125" style="39" customWidth="1"/>
    <col min="10" max="11" width="12.140625" style="39" customWidth="1"/>
    <col min="12" max="12" width="14.42578125" style="39" customWidth="1"/>
    <col min="13" max="13" width="12.5703125" style="39" customWidth="1"/>
    <col min="14" max="14" width="12.140625" style="39" customWidth="1"/>
    <col min="15" max="15" width="11.140625" style="39" customWidth="1"/>
    <col min="16" max="16" width="13.42578125" style="39" customWidth="1"/>
    <col min="17" max="17" width="12.140625" style="39" customWidth="1"/>
    <col min="18" max="18" width="12.42578125" style="39" customWidth="1"/>
    <col min="19" max="19" width="14.42578125" style="39" customWidth="1"/>
    <col min="20" max="20" width="12.5703125" style="39" customWidth="1"/>
    <col min="21" max="21" width="12.140625" style="39" customWidth="1"/>
    <col min="22" max="22" width="14.42578125" style="39" customWidth="1"/>
    <col min="23" max="23" width="12.5703125" style="39" customWidth="1"/>
    <col min="24" max="25" width="12.140625" style="39" customWidth="1"/>
    <col min="26" max="26" width="14.42578125" style="39" customWidth="1"/>
    <col min="27" max="27" width="12.5703125" style="39" customWidth="1"/>
    <col min="28" max="28" width="12.140625" style="39" customWidth="1"/>
    <col min="29" max="29" width="11.140625" style="39" customWidth="1"/>
    <col min="30" max="30" width="13.42578125" style="39" customWidth="1"/>
    <col min="31" max="31" width="12.140625" style="39" customWidth="1"/>
    <col min="32" max="32" width="12.42578125" style="39" customWidth="1"/>
    <col min="33" max="33" width="14.42578125" style="39" customWidth="1"/>
    <col min="34" max="34" width="12.5703125" style="39" customWidth="1"/>
    <col min="35" max="35" width="12.140625" style="39" customWidth="1"/>
    <col min="36" max="36" width="14.42578125" style="39" customWidth="1"/>
    <col min="37" max="37" width="12.5703125" style="39" customWidth="1"/>
    <col min="38" max="39" width="12.140625" style="39" customWidth="1"/>
    <col min="40" max="40" width="14.42578125" style="39" customWidth="1"/>
    <col min="41" max="41" width="12.5703125" style="39" customWidth="1"/>
    <col min="42" max="42" width="12.140625" style="39" customWidth="1"/>
    <col min="43" max="43" width="11.140625" style="39" customWidth="1"/>
    <col min="44" max="44" width="13.42578125" style="39" customWidth="1"/>
    <col min="45" max="45" width="12.140625" style="39" customWidth="1"/>
    <col min="46" max="46" width="12.42578125" style="39" customWidth="1"/>
    <col min="47" max="47" width="14.42578125" style="39" customWidth="1"/>
    <col min="48" max="48" width="12.5703125" style="39" customWidth="1"/>
    <col min="49" max="49" width="12.140625" style="39" customWidth="1"/>
    <col min="50" max="50" width="14.42578125" style="39" customWidth="1"/>
    <col min="51" max="51" width="12.5703125" style="39" customWidth="1"/>
    <col min="52" max="53" width="12.140625" style="39" customWidth="1"/>
    <col min="54" max="54" width="14.42578125" style="39" customWidth="1"/>
    <col min="55" max="55" width="12.5703125" style="39" customWidth="1"/>
    <col min="56" max="56" width="12.140625" style="39" customWidth="1"/>
    <col min="57" max="57" width="11.140625" style="39" customWidth="1"/>
    <col min="58" max="58" width="13.42578125" style="39" customWidth="1"/>
    <col min="59" max="59" width="12.140625" style="39" customWidth="1"/>
    <col min="60" max="60" width="12.42578125" style="39" customWidth="1"/>
    <col min="61" max="61" width="14.42578125" style="39" customWidth="1"/>
    <col min="62" max="62" width="12.5703125" style="39" customWidth="1"/>
    <col min="63" max="63" width="12.140625" style="39" customWidth="1"/>
    <col min="64" max="64" width="14.42578125" style="39" customWidth="1"/>
    <col min="65" max="65" width="12.5703125" style="39" customWidth="1"/>
    <col min="66" max="67" width="12.140625" style="39" customWidth="1"/>
    <col min="68" max="68" width="14.42578125" style="39" customWidth="1"/>
    <col min="69" max="69" width="12.5703125" style="39" customWidth="1"/>
    <col min="70" max="70" width="12.140625" style="39" customWidth="1"/>
    <col min="71" max="71" width="11.140625" style="39" customWidth="1"/>
    <col min="72" max="72" width="13.42578125" style="39" customWidth="1"/>
    <col min="73" max="73" width="12.140625" style="39" customWidth="1"/>
    <col min="74" max="74" width="12.42578125" style="39" customWidth="1"/>
    <col min="75" max="75" width="14.42578125" style="39" customWidth="1"/>
    <col min="76" max="76" width="12.5703125" style="39" customWidth="1"/>
    <col min="77" max="77" width="12.140625" style="39" customWidth="1"/>
    <col min="78" max="78" width="14.42578125" style="39" customWidth="1"/>
    <col min="79" max="79" width="12.5703125" style="39" customWidth="1"/>
    <col min="80" max="81" width="12.140625" style="39" customWidth="1"/>
    <col min="82" max="82" width="14.42578125" style="39" customWidth="1"/>
    <col min="83" max="83" width="12.5703125" style="39" customWidth="1"/>
    <col min="84" max="84" width="12.140625" style="39" customWidth="1"/>
    <col min="85" max="85" width="11.140625" style="39" customWidth="1"/>
    <col min="86" max="86" width="13.42578125" style="39" customWidth="1"/>
    <col min="87" max="87" width="12.140625" style="39" customWidth="1"/>
    <col min="88" max="88" width="12.42578125" style="39" customWidth="1"/>
    <col min="89" max="89" width="14.42578125" style="39" customWidth="1"/>
    <col min="90" max="90" width="12.5703125" style="39" customWidth="1"/>
    <col min="91" max="91" width="12.140625" style="39" customWidth="1"/>
    <col min="92" max="92" width="14.42578125" style="39" customWidth="1"/>
    <col min="93" max="93" width="12.5703125" style="39" customWidth="1"/>
    <col min="94" max="95" width="12.140625" style="39" customWidth="1"/>
    <col min="96" max="96" width="14.42578125" style="39" customWidth="1"/>
    <col min="97" max="97" width="12.5703125" style="39" customWidth="1"/>
    <col min="98" max="98" width="12.140625" style="39" customWidth="1"/>
    <col min="99" max="99" width="11.140625" style="39" customWidth="1"/>
    <col min="100" max="100" width="13.42578125" style="39" customWidth="1"/>
    <col min="101" max="101" width="12.140625" style="39" customWidth="1"/>
    <col min="102" max="102" width="12.42578125" style="39" customWidth="1"/>
    <col min="103" max="103" width="14.42578125" style="39" customWidth="1"/>
    <col min="104" max="104" width="12.5703125" style="39" customWidth="1"/>
    <col min="105" max="105" width="12.140625" style="39" customWidth="1"/>
    <col min="106" max="106" width="14.42578125" style="39" customWidth="1"/>
    <col min="107" max="107" width="12.5703125" style="39" customWidth="1"/>
    <col min="108" max="109" width="12.140625" style="39" customWidth="1"/>
    <col min="110" max="110" width="14.42578125" style="39" customWidth="1"/>
    <col min="111" max="111" width="12.5703125" style="39" customWidth="1"/>
    <col min="112" max="112" width="12.140625" style="39" customWidth="1"/>
    <col min="113" max="113" width="11.140625" style="39" customWidth="1"/>
    <col min="114" max="114" width="13.42578125" style="39" customWidth="1"/>
    <col min="115" max="115" width="12.140625" style="39" customWidth="1"/>
    <col min="116" max="116" width="12.42578125" style="39" customWidth="1"/>
    <col min="117" max="117" width="14.42578125" style="39" customWidth="1"/>
    <col min="118" max="118" width="12.5703125" style="39" customWidth="1"/>
    <col min="119" max="119" width="12.140625" style="39" customWidth="1"/>
    <col min="120" max="120" width="14.42578125" style="39" customWidth="1"/>
    <col min="121" max="121" width="12.5703125" style="39" customWidth="1"/>
    <col min="122" max="123" width="12.140625" style="39" customWidth="1"/>
    <col min="124" max="124" width="14.42578125" style="39" customWidth="1"/>
    <col min="125" max="125" width="12.5703125" style="39" customWidth="1"/>
    <col min="126" max="126" width="12.140625" style="39" customWidth="1"/>
    <col min="127" max="127" width="11.140625" style="39" customWidth="1"/>
    <col min="128" max="128" width="13.42578125" style="39" customWidth="1"/>
    <col min="129" max="129" width="12.140625" style="39" customWidth="1"/>
    <col min="130" max="130" width="12.42578125" style="39" customWidth="1"/>
    <col min="131" max="131" width="14.42578125" style="39" customWidth="1"/>
    <col min="132" max="132" width="12.5703125" style="39" customWidth="1"/>
    <col min="133" max="133" width="12.140625" style="39" customWidth="1"/>
    <col min="134" max="134" width="14.42578125" style="39" customWidth="1"/>
    <col min="135" max="135" width="12.5703125" style="39" customWidth="1"/>
    <col min="136" max="137" width="12.140625" style="39" customWidth="1"/>
    <col min="138" max="138" width="14.42578125" style="39" customWidth="1"/>
    <col min="139" max="139" width="12.5703125" style="39" customWidth="1"/>
    <col min="140" max="140" width="12.140625" style="39" customWidth="1"/>
    <col min="141" max="141" width="11.140625" style="39" customWidth="1"/>
    <col min="142" max="142" width="13.42578125" style="39" customWidth="1"/>
    <col min="143" max="143" width="12.140625" style="39" customWidth="1"/>
    <col min="144" max="144" width="12.42578125" style="39" customWidth="1"/>
    <col min="145" max="145" width="14.42578125" style="39" customWidth="1"/>
    <col min="146" max="146" width="12.5703125" style="39" customWidth="1"/>
    <col min="147" max="147" width="12.140625" style="39" customWidth="1"/>
    <col min="148" max="148" width="14.42578125" style="39" customWidth="1"/>
    <col min="149" max="149" width="12.5703125" style="39" customWidth="1"/>
    <col min="150" max="151" width="12.140625" style="39" customWidth="1"/>
    <col min="152" max="152" width="14.42578125" style="39" customWidth="1"/>
    <col min="153" max="153" width="12.5703125" style="39" customWidth="1"/>
    <col min="154" max="154" width="12.140625" style="39" customWidth="1"/>
    <col min="155" max="155" width="11.140625" style="39" customWidth="1"/>
    <col min="156" max="156" width="13.42578125" style="39" customWidth="1"/>
    <col min="157" max="157" width="12.140625" style="39" customWidth="1"/>
    <col min="158" max="158" width="12.42578125" style="39" customWidth="1"/>
    <col min="159" max="159" width="14.42578125" style="39" customWidth="1"/>
    <col min="160" max="160" width="12.5703125" style="39" customWidth="1"/>
    <col min="161" max="161" width="12.140625" style="39" customWidth="1"/>
    <col min="162" max="162" width="14.42578125" style="39" customWidth="1"/>
    <col min="163" max="163" width="12.5703125" style="39" customWidth="1"/>
    <col min="164" max="165" width="12.140625" style="39" customWidth="1"/>
    <col min="166" max="166" width="14.42578125" style="39" customWidth="1"/>
    <col min="167" max="167" width="12.5703125" style="39" customWidth="1"/>
    <col min="168" max="168" width="12.140625" style="39" customWidth="1"/>
    <col min="169" max="169" width="11.140625" style="39" customWidth="1"/>
    <col min="170" max="170" width="13.42578125" style="39" customWidth="1"/>
    <col min="171" max="171" width="12.140625" style="39" customWidth="1"/>
    <col min="172" max="172" width="12.42578125" style="39" customWidth="1"/>
    <col min="173" max="173" width="14.42578125" style="39" customWidth="1"/>
    <col min="174" max="174" width="12.5703125" style="39" customWidth="1"/>
    <col min="175" max="175" width="12.140625" style="39" customWidth="1"/>
    <col min="176" max="176" width="14.42578125" style="39" customWidth="1"/>
    <col min="177" max="177" width="12.5703125" style="39" customWidth="1"/>
    <col min="178" max="179" width="12.140625" style="39" customWidth="1"/>
    <col min="180" max="180" width="14.42578125" style="39" customWidth="1"/>
    <col min="181" max="181" width="12.5703125" style="39" customWidth="1"/>
    <col min="182" max="182" width="12.140625" style="39" customWidth="1"/>
    <col min="183" max="183" width="11.140625" style="39" customWidth="1"/>
    <col min="184" max="184" width="13.42578125" style="39" customWidth="1"/>
    <col min="185" max="185" width="12.140625" style="39" customWidth="1"/>
    <col min="186" max="186" width="12.42578125" style="39" customWidth="1"/>
    <col min="187" max="187" width="14.42578125" style="39" customWidth="1"/>
    <col min="188" max="188" width="12.5703125" style="39" customWidth="1"/>
    <col min="189" max="189" width="12.140625" style="39" customWidth="1"/>
    <col min="190" max="190" width="14.42578125" style="39" customWidth="1"/>
    <col min="191" max="191" width="12.5703125" style="39" customWidth="1"/>
    <col min="192" max="193" width="12.140625" style="39" customWidth="1"/>
    <col min="194" max="194" width="14.42578125" style="39" customWidth="1"/>
    <col min="195" max="195" width="12.5703125" style="39" customWidth="1"/>
    <col min="196" max="196" width="12.140625" style="39" customWidth="1"/>
    <col min="197" max="197" width="11.140625" style="39" customWidth="1"/>
    <col min="198" max="198" width="13.42578125" style="39" customWidth="1"/>
    <col min="199" max="199" width="12.140625" style="39" customWidth="1"/>
    <col min="200" max="200" width="12.42578125" style="39" customWidth="1"/>
    <col min="201" max="201" width="14.42578125" style="39" customWidth="1"/>
    <col min="202" max="202" width="12.5703125" style="39" customWidth="1"/>
    <col min="203" max="203" width="12.140625" style="39" customWidth="1"/>
    <col min="204" max="204" width="14.42578125" style="39" customWidth="1"/>
    <col min="205" max="205" width="12.5703125" style="39" customWidth="1"/>
    <col min="206" max="207" width="12.140625" style="39" customWidth="1"/>
    <col min="208" max="208" width="14.42578125" style="39" customWidth="1"/>
    <col min="209" max="209" width="12.5703125" style="39" customWidth="1"/>
    <col min="210" max="210" width="12.140625" style="39" customWidth="1"/>
    <col min="211" max="16384" width="8.85546875" style="40"/>
  </cols>
  <sheetData>
    <row r="1" spans="1:238" customFormat="1" ht="21.6" customHeight="1" x14ac:dyDescent="0.2">
      <c r="A1" s="49" t="s">
        <v>226</v>
      </c>
      <c r="B1" s="49" t="s">
        <v>200</v>
      </c>
      <c r="C1" s="48"/>
      <c r="D1" s="48"/>
      <c r="E1" s="48"/>
      <c r="F1" s="48"/>
      <c r="G1" s="48"/>
      <c r="H1" s="48"/>
      <c r="I1" s="48"/>
      <c r="J1" s="48"/>
      <c r="K1" s="48"/>
      <c r="L1" s="48"/>
      <c r="M1" s="48"/>
      <c r="N1" s="48"/>
      <c r="O1" s="49" t="s">
        <v>227</v>
      </c>
      <c r="P1" s="49" t="s">
        <v>200</v>
      </c>
      <c r="Q1" s="48"/>
      <c r="R1" s="48"/>
      <c r="S1" s="48"/>
      <c r="T1" s="48"/>
      <c r="U1" s="48"/>
      <c r="V1" s="48"/>
      <c r="W1" s="48"/>
      <c r="X1" s="48"/>
      <c r="Y1" s="48"/>
      <c r="Z1" s="48"/>
      <c r="AA1" s="48"/>
      <c r="AB1" s="48"/>
      <c r="AC1" s="49" t="s">
        <v>228</v>
      </c>
      <c r="AD1" s="49" t="s">
        <v>200</v>
      </c>
      <c r="AE1" s="48"/>
      <c r="AF1" s="48"/>
      <c r="AG1" s="48"/>
      <c r="AH1" s="48"/>
      <c r="AI1" s="48"/>
      <c r="AJ1" s="48"/>
      <c r="AK1" s="48"/>
      <c r="AL1" s="48"/>
      <c r="AM1" s="48"/>
      <c r="AN1" s="48"/>
      <c r="AO1" s="48"/>
      <c r="AP1" s="48"/>
      <c r="AQ1" s="49" t="s">
        <v>229</v>
      </c>
      <c r="AR1" s="49" t="s">
        <v>200</v>
      </c>
      <c r="AS1" s="48"/>
      <c r="AT1" s="48"/>
      <c r="AU1" s="48"/>
      <c r="AV1" s="48"/>
      <c r="AW1" s="48"/>
      <c r="AX1" s="48"/>
      <c r="AY1" s="48"/>
      <c r="AZ1" s="48"/>
      <c r="BA1" s="48"/>
      <c r="BB1" s="48"/>
      <c r="BC1" s="48"/>
      <c r="BD1" s="48"/>
      <c r="BE1" s="49" t="s">
        <v>230</v>
      </c>
      <c r="BF1" s="49" t="s">
        <v>200</v>
      </c>
      <c r="BG1" s="48"/>
      <c r="BH1" s="48"/>
      <c r="BI1" s="48"/>
      <c r="BJ1" s="48"/>
      <c r="BK1" s="48"/>
      <c r="BL1" s="48"/>
      <c r="BM1" s="48"/>
      <c r="BN1" s="48"/>
      <c r="BO1" s="48"/>
      <c r="BP1" s="48"/>
      <c r="BQ1" s="48"/>
      <c r="BR1" s="48"/>
      <c r="BS1" s="49" t="s">
        <v>231</v>
      </c>
      <c r="BT1" s="49" t="s">
        <v>200</v>
      </c>
      <c r="BU1" s="48"/>
      <c r="BV1" s="48"/>
      <c r="BW1" s="48"/>
      <c r="BX1" s="48"/>
      <c r="BY1" s="48"/>
      <c r="BZ1" s="48"/>
      <c r="CA1" s="48"/>
      <c r="CB1" s="48"/>
      <c r="CC1" s="48"/>
      <c r="CD1" s="48"/>
      <c r="CE1" s="48"/>
      <c r="CF1" s="48"/>
      <c r="CG1" s="49" t="s">
        <v>232</v>
      </c>
      <c r="CH1" s="49" t="s">
        <v>200</v>
      </c>
      <c r="CI1" s="48"/>
      <c r="CJ1" s="48"/>
      <c r="CK1" s="48"/>
      <c r="CL1" s="48"/>
      <c r="CM1" s="48"/>
      <c r="CN1" s="48"/>
      <c r="CO1" s="48"/>
      <c r="CP1" s="48"/>
      <c r="CQ1" s="48"/>
      <c r="CR1" s="48"/>
      <c r="CS1" s="48"/>
      <c r="CT1" s="48"/>
      <c r="CU1" s="49" t="s">
        <v>233</v>
      </c>
      <c r="CV1" s="49" t="s">
        <v>200</v>
      </c>
      <c r="CW1" s="48"/>
      <c r="CX1" s="48"/>
      <c r="CY1" s="48"/>
      <c r="CZ1" s="48"/>
      <c r="DA1" s="48"/>
      <c r="DB1" s="48"/>
      <c r="DC1" s="48"/>
      <c r="DD1" s="48"/>
      <c r="DE1" s="48"/>
      <c r="DF1" s="48"/>
      <c r="DG1" s="48"/>
      <c r="DH1" s="48"/>
      <c r="DI1" s="49" t="s">
        <v>234</v>
      </c>
      <c r="DJ1" s="49" t="s">
        <v>200</v>
      </c>
      <c r="DK1" s="48"/>
      <c r="DL1" s="48"/>
      <c r="DM1" s="48"/>
      <c r="DN1" s="48"/>
      <c r="DO1" s="48"/>
      <c r="DP1" s="48"/>
      <c r="DQ1" s="48"/>
      <c r="DR1" s="48"/>
      <c r="DS1" s="48"/>
      <c r="DT1" s="48"/>
      <c r="DU1" s="48"/>
      <c r="DV1" s="48"/>
      <c r="DW1" s="49" t="s">
        <v>235</v>
      </c>
      <c r="DX1" s="49" t="s">
        <v>200</v>
      </c>
      <c r="DY1" s="48"/>
      <c r="DZ1" s="48"/>
      <c r="EA1" s="48"/>
      <c r="EB1" s="48"/>
      <c r="EC1" s="48"/>
      <c r="ED1" s="48"/>
      <c r="EE1" s="48"/>
      <c r="EF1" s="48"/>
      <c r="EG1" s="48"/>
      <c r="EH1" s="48"/>
      <c r="EI1" s="48"/>
      <c r="EJ1" s="48"/>
      <c r="EK1" s="49" t="s">
        <v>236</v>
      </c>
      <c r="EL1" s="49" t="s">
        <v>200</v>
      </c>
      <c r="EM1" s="48"/>
      <c r="EN1" s="48"/>
      <c r="EO1" s="48"/>
      <c r="EP1" s="48"/>
      <c r="EQ1" s="48"/>
      <c r="ER1" s="48"/>
      <c r="ES1" s="48"/>
      <c r="ET1" s="48"/>
      <c r="EU1" s="48"/>
      <c r="EV1" s="48"/>
      <c r="EW1" s="48"/>
      <c r="EX1" s="48"/>
      <c r="EY1" s="49" t="s">
        <v>237</v>
      </c>
      <c r="EZ1" s="49" t="s">
        <v>200</v>
      </c>
      <c r="FA1" s="48"/>
      <c r="FB1" s="48"/>
      <c r="FC1" s="48"/>
      <c r="FD1" s="48"/>
      <c r="FE1" s="48"/>
      <c r="FF1" s="48"/>
      <c r="FG1" s="48"/>
      <c r="FH1" s="48"/>
      <c r="FI1" s="48"/>
      <c r="FJ1" s="48"/>
      <c r="FK1" s="48"/>
      <c r="FL1" s="48"/>
      <c r="FM1" s="49" t="s">
        <v>238</v>
      </c>
      <c r="FN1" s="49" t="s">
        <v>200</v>
      </c>
      <c r="FO1" s="48"/>
      <c r="FP1" s="48"/>
      <c r="FQ1" s="48"/>
      <c r="FR1" s="48"/>
      <c r="FS1" s="48"/>
      <c r="FT1" s="48"/>
      <c r="FU1" s="48"/>
      <c r="FV1" s="48"/>
      <c r="FW1" s="48"/>
      <c r="FX1" s="48"/>
      <c r="FY1" s="48"/>
      <c r="FZ1" s="48"/>
      <c r="GA1" s="49" t="s">
        <v>239</v>
      </c>
      <c r="GB1" s="49" t="s">
        <v>200</v>
      </c>
      <c r="GC1" s="48"/>
      <c r="GD1" s="48"/>
      <c r="GE1" s="48"/>
      <c r="GF1" s="48"/>
      <c r="GG1" s="48"/>
      <c r="GH1" s="48"/>
      <c r="GI1" s="48"/>
      <c r="GJ1" s="48"/>
      <c r="GK1" s="48"/>
      <c r="GL1" s="48"/>
      <c r="GM1" s="48"/>
      <c r="GN1" s="48"/>
      <c r="GO1" s="49" t="s">
        <v>240</v>
      </c>
      <c r="GP1" s="49" t="s">
        <v>200</v>
      </c>
      <c r="GQ1" s="48"/>
      <c r="GR1" s="48"/>
      <c r="GS1" s="48"/>
      <c r="GT1" s="48"/>
      <c r="GU1" s="48"/>
      <c r="GV1" s="48"/>
      <c r="GW1" s="48"/>
      <c r="GX1" s="48"/>
      <c r="GY1" s="48"/>
      <c r="GZ1" s="48"/>
      <c r="HA1" s="48"/>
      <c r="HB1" s="48"/>
    </row>
    <row r="2" spans="1:238" s="56" customFormat="1" ht="46.35" customHeight="1" x14ac:dyDescent="0.2">
      <c r="A2" s="51" t="s">
        <v>73</v>
      </c>
      <c r="B2" s="51" t="s">
        <v>48</v>
      </c>
      <c r="C2" s="51" t="s">
        <v>49</v>
      </c>
      <c r="D2" s="51" t="s">
        <v>47</v>
      </c>
      <c r="E2" s="51" t="s">
        <v>50</v>
      </c>
      <c r="F2" s="51" t="s">
        <v>51</v>
      </c>
      <c r="G2" s="50" t="s">
        <v>52</v>
      </c>
      <c r="H2" s="51" t="s">
        <v>175</v>
      </c>
      <c r="I2" s="51" t="s">
        <v>176</v>
      </c>
      <c r="J2" s="51" t="s">
        <v>177</v>
      </c>
      <c r="K2" s="50" t="s">
        <v>193</v>
      </c>
      <c r="L2" s="51" t="s">
        <v>194</v>
      </c>
      <c r="M2" s="51" t="s">
        <v>192</v>
      </c>
      <c r="N2" s="51" t="s">
        <v>195</v>
      </c>
      <c r="O2" s="51" t="s">
        <v>73</v>
      </c>
      <c r="P2" s="51" t="s">
        <v>48</v>
      </c>
      <c r="Q2" s="51" t="s">
        <v>49</v>
      </c>
      <c r="R2" s="51" t="s">
        <v>47</v>
      </c>
      <c r="S2" s="51" t="s">
        <v>50</v>
      </c>
      <c r="T2" s="51" t="s">
        <v>51</v>
      </c>
      <c r="U2" s="50" t="s">
        <v>52</v>
      </c>
      <c r="V2" s="51" t="s">
        <v>175</v>
      </c>
      <c r="W2" s="51" t="s">
        <v>176</v>
      </c>
      <c r="X2" s="51" t="s">
        <v>177</v>
      </c>
      <c r="Y2" s="50" t="s">
        <v>193</v>
      </c>
      <c r="Z2" s="51" t="s">
        <v>194</v>
      </c>
      <c r="AA2" s="51" t="s">
        <v>192</v>
      </c>
      <c r="AB2" s="51" t="s">
        <v>195</v>
      </c>
      <c r="AC2" s="51" t="s">
        <v>73</v>
      </c>
      <c r="AD2" s="51" t="s">
        <v>48</v>
      </c>
      <c r="AE2" s="51" t="s">
        <v>49</v>
      </c>
      <c r="AF2" s="51" t="s">
        <v>47</v>
      </c>
      <c r="AG2" s="51" t="s">
        <v>50</v>
      </c>
      <c r="AH2" s="51" t="s">
        <v>51</v>
      </c>
      <c r="AI2" s="50" t="s">
        <v>52</v>
      </c>
      <c r="AJ2" s="51" t="s">
        <v>175</v>
      </c>
      <c r="AK2" s="51" t="s">
        <v>176</v>
      </c>
      <c r="AL2" s="51" t="s">
        <v>177</v>
      </c>
      <c r="AM2" s="50" t="s">
        <v>193</v>
      </c>
      <c r="AN2" s="51" t="s">
        <v>194</v>
      </c>
      <c r="AO2" s="51" t="s">
        <v>192</v>
      </c>
      <c r="AP2" s="51" t="s">
        <v>195</v>
      </c>
      <c r="AQ2" s="51" t="s">
        <v>73</v>
      </c>
      <c r="AR2" s="51" t="s">
        <v>48</v>
      </c>
      <c r="AS2" s="51" t="s">
        <v>49</v>
      </c>
      <c r="AT2" s="51" t="s">
        <v>47</v>
      </c>
      <c r="AU2" s="51" t="s">
        <v>50</v>
      </c>
      <c r="AV2" s="51" t="s">
        <v>51</v>
      </c>
      <c r="AW2" s="50" t="s">
        <v>52</v>
      </c>
      <c r="AX2" s="51" t="s">
        <v>175</v>
      </c>
      <c r="AY2" s="51" t="s">
        <v>176</v>
      </c>
      <c r="AZ2" s="51" t="s">
        <v>177</v>
      </c>
      <c r="BA2" s="50" t="s">
        <v>193</v>
      </c>
      <c r="BB2" s="51" t="s">
        <v>194</v>
      </c>
      <c r="BC2" s="51" t="s">
        <v>192</v>
      </c>
      <c r="BD2" s="51" t="s">
        <v>195</v>
      </c>
      <c r="BE2" s="51" t="s">
        <v>73</v>
      </c>
      <c r="BF2" s="51" t="s">
        <v>48</v>
      </c>
      <c r="BG2" s="51" t="s">
        <v>49</v>
      </c>
      <c r="BH2" s="51" t="s">
        <v>47</v>
      </c>
      <c r="BI2" s="51" t="s">
        <v>50</v>
      </c>
      <c r="BJ2" s="51" t="s">
        <v>51</v>
      </c>
      <c r="BK2" s="50" t="s">
        <v>52</v>
      </c>
      <c r="BL2" s="51" t="s">
        <v>175</v>
      </c>
      <c r="BM2" s="51" t="s">
        <v>176</v>
      </c>
      <c r="BN2" s="51" t="s">
        <v>177</v>
      </c>
      <c r="BO2" s="50" t="s">
        <v>193</v>
      </c>
      <c r="BP2" s="51" t="s">
        <v>194</v>
      </c>
      <c r="BQ2" s="51" t="s">
        <v>192</v>
      </c>
      <c r="BR2" s="51" t="s">
        <v>195</v>
      </c>
      <c r="BS2" s="51" t="s">
        <v>73</v>
      </c>
      <c r="BT2" s="51" t="s">
        <v>48</v>
      </c>
      <c r="BU2" s="51" t="s">
        <v>49</v>
      </c>
      <c r="BV2" s="51" t="s">
        <v>47</v>
      </c>
      <c r="BW2" s="51" t="s">
        <v>50</v>
      </c>
      <c r="BX2" s="51" t="s">
        <v>51</v>
      </c>
      <c r="BY2" s="50" t="s">
        <v>52</v>
      </c>
      <c r="BZ2" s="51" t="s">
        <v>175</v>
      </c>
      <c r="CA2" s="51" t="s">
        <v>176</v>
      </c>
      <c r="CB2" s="51" t="s">
        <v>177</v>
      </c>
      <c r="CC2" s="50" t="s">
        <v>193</v>
      </c>
      <c r="CD2" s="51" t="s">
        <v>194</v>
      </c>
      <c r="CE2" s="51" t="s">
        <v>192</v>
      </c>
      <c r="CF2" s="51" t="s">
        <v>195</v>
      </c>
      <c r="CG2" s="51" t="s">
        <v>73</v>
      </c>
      <c r="CH2" s="51" t="s">
        <v>48</v>
      </c>
      <c r="CI2" s="51" t="s">
        <v>49</v>
      </c>
      <c r="CJ2" s="51" t="s">
        <v>47</v>
      </c>
      <c r="CK2" s="51" t="s">
        <v>50</v>
      </c>
      <c r="CL2" s="51" t="s">
        <v>51</v>
      </c>
      <c r="CM2" s="50" t="s">
        <v>52</v>
      </c>
      <c r="CN2" s="51" t="s">
        <v>175</v>
      </c>
      <c r="CO2" s="51" t="s">
        <v>176</v>
      </c>
      <c r="CP2" s="51" t="s">
        <v>177</v>
      </c>
      <c r="CQ2" s="50" t="s">
        <v>193</v>
      </c>
      <c r="CR2" s="51" t="s">
        <v>194</v>
      </c>
      <c r="CS2" s="51" t="s">
        <v>192</v>
      </c>
      <c r="CT2" s="51" t="s">
        <v>195</v>
      </c>
      <c r="CU2" s="51" t="s">
        <v>73</v>
      </c>
      <c r="CV2" s="51" t="s">
        <v>48</v>
      </c>
      <c r="CW2" s="51" t="s">
        <v>49</v>
      </c>
      <c r="CX2" s="51" t="s">
        <v>47</v>
      </c>
      <c r="CY2" s="51" t="s">
        <v>50</v>
      </c>
      <c r="CZ2" s="51" t="s">
        <v>51</v>
      </c>
      <c r="DA2" s="50" t="s">
        <v>52</v>
      </c>
      <c r="DB2" s="51" t="s">
        <v>175</v>
      </c>
      <c r="DC2" s="51" t="s">
        <v>176</v>
      </c>
      <c r="DD2" s="51" t="s">
        <v>177</v>
      </c>
      <c r="DE2" s="50" t="s">
        <v>193</v>
      </c>
      <c r="DF2" s="51" t="s">
        <v>194</v>
      </c>
      <c r="DG2" s="51" t="s">
        <v>192</v>
      </c>
      <c r="DH2" s="51" t="s">
        <v>195</v>
      </c>
      <c r="DI2" s="51" t="s">
        <v>73</v>
      </c>
      <c r="DJ2" s="51" t="s">
        <v>48</v>
      </c>
      <c r="DK2" s="51" t="s">
        <v>49</v>
      </c>
      <c r="DL2" s="51" t="s">
        <v>47</v>
      </c>
      <c r="DM2" s="51" t="s">
        <v>50</v>
      </c>
      <c r="DN2" s="51" t="s">
        <v>51</v>
      </c>
      <c r="DO2" s="50" t="s">
        <v>52</v>
      </c>
      <c r="DP2" s="51" t="s">
        <v>175</v>
      </c>
      <c r="DQ2" s="51" t="s">
        <v>176</v>
      </c>
      <c r="DR2" s="51" t="s">
        <v>177</v>
      </c>
      <c r="DS2" s="50" t="s">
        <v>193</v>
      </c>
      <c r="DT2" s="51" t="s">
        <v>194</v>
      </c>
      <c r="DU2" s="51" t="s">
        <v>192</v>
      </c>
      <c r="DV2" s="51" t="s">
        <v>195</v>
      </c>
      <c r="DW2" s="51" t="s">
        <v>73</v>
      </c>
      <c r="DX2" s="51" t="s">
        <v>48</v>
      </c>
      <c r="DY2" s="51" t="s">
        <v>49</v>
      </c>
      <c r="DZ2" s="51" t="s">
        <v>47</v>
      </c>
      <c r="EA2" s="51" t="s">
        <v>50</v>
      </c>
      <c r="EB2" s="51" t="s">
        <v>51</v>
      </c>
      <c r="EC2" s="50" t="s">
        <v>52</v>
      </c>
      <c r="ED2" s="51" t="s">
        <v>175</v>
      </c>
      <c r="EE2" s="51" t="s">
        <v>176</v>
      </c>
      <c r="EF2" s="51" t="s">
        <v>177</v>
      </c>
      <c r="EG2" s="50" t="s">
        <v>193</v>
      </c>
      <c r="EH2" s="51" t="s">
        <v>194</v>
      </c>
      <c r="EI2" s="51" t="s">
        <v>192</v>
      </c>
      <c r="EJ2" s="51" t="s">
        <v>195</v>
      </c>
      <c r="EK2" s="51" t="s">
        <v>73</v>
      </c>
      <c r="EL2" s="51" t="s">
        <v>48</v>
      </c>
      <c r="EM2" s="51" t="s">
        <v>49</v>
      </c>
      <c r="EN2" s="51" t="s">
        <v>47</v>
      </c>
      <c r="EO2" s="51" t="s">
        <v>50</v>
      </c>
      <c r="EP2" s="51" t="s">
        <v>51</v>
      </c>
      <c r="EQ2" s="50" t="s">
        <v>52</v>
      </c>
      <c r="ER2" s="51" t="s">
        <v>175</v>
      </c>
      <c r="ES2" s="51" t="s">
        <v>176</v>
      </c>
      <c r="ET2" s="51" t="s">
        <v>177</v>
      </c>
      <c r="EU2" s="50" t="s">
        <v>193</v>
      </c>
      <c r="EV2" s="51" t="s">
        <v>194</v>
      </c>
      <c r="EW2" s="51" t="s">
        <v>192</v>
      </c>
      <c r="EX2" s="51" t="s">
        <v>195</v>
      </c>
      <c r="EY2" s="51" t="s">
        <v>73</v>
      </c>
      <c r="EZ2" s="51" t="s">
        <v>48</v>
      </c>
      <c r="FA2" s="51" t="s">
        <v>49</v>
      </c>
      <c r="FB2" s="51" t="s">
        <v>47</v>
      </c>
      <c r="FC2" s="51" t="s">
        <v>50</v>
      </c>
      <c r="FD2" s="51" t="s">
        <v>51</v>
      </c>
      <c r="FE2" s="50" t="s">
        <v>52</v>
      </c>
      <c r="FF2" s="51" t="s">
        <v>175</v>
      </c>
      <c r="FG2" s="51" t="s">
        <v>176</v>
      </c>
      <c r="FH2" s="51" t="s">
        <v>177</v>
      </c>
      <c r="FI2" s="50" t="s">
        <v>193</v>
      </c>
      <c r="FJ2" s="51" t="s">
        <v>194</v>
      </c>
      <c r="FK2" s="51" t="s">
        <v>192</v>
      </c>
      <c r="FL2" s="51" t="s">
        <v>195</v>
      </c>
      <c r="FM2" s="51" t="s">
        <v>73</v>
      </c>
      <c r="FN2" s="51" t="s">
        <v>48</v>
      </c>
      <c r="FO2" s="51" t="s">
        <v>49</v>
      </c>
      <c r="FP2" s="51" t="s">
        <v>47</v>
      </c>
      <c r="FQ2" s="51" t="s">
        <v>50</v>
      </c>
      <c r="FR2" s="51" t="s">
        <v>51</v>
      </c>
      <c r="FS2" s="50" t="s">
        <v>52</v>
      </c>
      <c r="FT2" s="51" t="s">
        <v>175</v>
      </c>
      <c r="FU2" s="51" t="s">
        <v>176</v>
      </c>
      <c r="FV2" s="51" t="s">
        <v>177</v>
      </c>
      <c r="FW2" s="50" t="s">
        <v>193</v>
      </c>
      <c r="FX2" s="51" t="s">
        <v>194</v>
      </c>
      <c r="FY2" s="51" t="s">
        <v>192</v>
      </c>
      <c r="FZ2" s="51" t="s">
        <v>195</v>
      </c>
      <c r="GA2" s="51" t="s">
        <v>73</v>
      </c>
      <c r="GB2" s="51" t="s">
        <v>48</v>
      </c>
      <c r="GC2" s="51" t="s">
        <v>49</v>
      </c>
      <c r="GD2" s="51" t="s">
        <v>47</v>
      </c>
      <c r="GE2" s="51" t="s">
        <v>50</v>
      </c>
      <c r="GF2" s="51" t="s">
        <v>51</v>
      </c>
      <c r="GG2" s="50" t="s">
        <v>52</v>
      </c>
      <c r="GH2" s="51" t="s">
        <v>175</v>
      </c>
      <c r="GI2" s="51" t="s">
        <v>176</v>
      </c>
      <c r="GJ2" s="51" t="s">
        <v>177</v>
      </c>
      <c r="GK2" s="50" t="s">
        <v>193</v>
      </c>
      <c r="GL2" s="51" t="s">
        <v>194</v>
      </c>
      <c r="GM2" s="51" t="s">
        <v>192</v>
      </c>
      <c r="GN2" s="51" t="s">
        <v>195</v>
      </c>
      <c r="GO2" s="51" t="s">
        <v>73</v>
      </c>
      <c r="GP2" s="51" t="s">
        <v>48</v>
      </c>
      <c r="GQ2" s="51" t="s">
        <v>49</v>
      </c>
      <c r="GR2" s="51" t="s">
        <v>47</v>
      </c>
      <c r="GS2" s="51" t="s">
        <v>50</v>
      </c>
      <c r="GT2" s="51" t="s">
        <v>51</v>
      </c>
      <c r="GU2" s="50" t="s">
        <v>52</v>
      </c>
      <c r="GV2" s="51" t="s">
        <v>175</v>
      </c>
      <c r="GW2" s="51" t="s">
        <v>176</v>
      </c>
      <c r="GX2" s="51" t="s">
        <v>177</v>
      </c>
      <c r="GY2" s="50" t="s">
        <v>193</v>
      </c>
      <c r="GZ2" s="51" t="s">
        <v>194</v>
      </c>
      <c r="HA2" s="51" t="s">
        <v>192</v>
      </c>
      <c r="HB2" s="51" t="s">
        <v>195</v>
      </c>
    </row>
    <row r="3" spans="1:238" s="7" customFormat="1" ht="40.700000000000003" customHeight="1" x14ac:dyDescent="0.2">
      <c r="A3" s="35"/>
      <c r="B3" s="35">
        <v>-0.5</v>
      </c>
      <c r="C3" s="35">
        <v>0.5</v>
      </c>
      <c r="D3" s="38" t="s">
        <v>53</v>
      </c>
      <c r="E3" s="35" t="s">
        <v>2</v>
      </c>
      <c r="F3" s="35"/>
      <c r="G3" s="38"/>
      <c r="H3" s="35" t="s">
        <v>2</v>
      </c>
      <c r="I3" s="35"/>
      <c r="J3" s="38"/>
      <c r="K3" s="38" t="s">
        <v>2</v>
      </c>
      <c r="L3" s="35"/>
      <c r="M3" s="35"/>
      <c r="N3" s="38"/>
      <c r="O3" s="35"/>
      <c r="P3" s="35">
        <v>-0.04</v>
      </c>
      <c r="Q3" s="35">
        <v>0.04</v>
      </c>
      <c r="R3" s="38" t="s">
        <v>53</v>
      </c>
      <c r="S3" s="35" t="s">
        <v>2</v>
      </c>
      <c r="T3" s="35"/>
      <c r="U3" s="38"/>
      <c r="V3" s="35" t="s">
        <v>2</v>
      </c>
      <c r="W3" s="35"/>
      <c r="X3" s="38"/>
      <c r="Y3" s="38" t="s">
        <v>2</v>
      </c>
      <c r="Z3" s="35"/>
      <c r="AA3" s="35"/>
      <c r="AB3" s="38"/>
      <c r="AC3" s="35"/>
      <c r="AD3" s="35"/>
      <c r="AE3" s="35"/>
      <c r="AF3" s="38"/>
      <c r="AG3" s="35"/>
      <c r="AH3" s="35"/>
      <c r="AI3" s="38"/>
      <c r="AJ3" s="35"/>
      <c r="AK3" s="35"/>
      <c r="AL3" s="38"/>
      <c r="AM3" s="38"/>
      <c r="AN3" s="35"/>
      <c r="AO3" s="35"/>
      <c r="AP3" s="38"/>
      <c r="AQ3" s="35"/>
      <c r="AR3" s="35"/>
      <c r="AS3" s="35"/>
      <c r="AT3" s="38"/>
      <c r="AU3" s="35"/>
      <c r="AV3" s="35"/>
      <c r="AW3" s="38"/>
      <c r="AX3" s="35"/>
      <c r="AY3" s="35"/>
      <c r="AZ3" s="38"/>
      <c r="BA3" s="38"/>
      <c r="BB3" s="35"/>
      <c r="BC3" s="35"/>
      <c r="BD3" s="38"/>
      <c r="BE3" s="35"/>
      <c r="BF3" s="35"/>
      <c r="BG3" s="35"/>
      <c r="BH3" s="38"/>
      <c r="BI3" s="35"/>
      <c r="BJ3" s="35"/>
      <c r="BK3" s="38"/>
      <c r="BL3" s="35"/>
      <c r="BM3" s="35"/>
      <c r="BN3" s="38"/>
      <c r="BO3" s="38"/>
      <c r="BP3" s="35"/>
      <c r="BQ3" s="35"/>
      <c r="BR3" s="38"/>
      <c r="BS3" s="35"/>
      <c r="BT3" s="35"/>
      <c r="BU3" s="35"/>
      <c r="BV3" s="38"/>
      <c r="BW3" s="35"/>
      <c r="BX3" s="35"/>
      <c r="BY3" s="38"/>
      <c r="BZ3" s="35"/>
      <c r="CA3" s="35"/>
      <c r="CB3" s="38"/>
      <c r="CC3" s="38"/>
      <c r="CD3" s="35"/>
      <c r="CE3" s="35"/>
      <c r="CF3" s="38"/>
      <c r="CG3" s="35"/>
      <c r="CH3" s="35"/>
      <c r="CI3" s="35"/>
      <c r="CJ3" s="38"/>
      <c r="CK3" s="35"/>
      <c r="CL3" s="35"/>
      <c r="CM3" s="38"/>
      <c r="CN3" s="35"/>
      <c r="CO3" s="35"/>
      <c r="CP3" s="38"/>
      <c r="CQ3" s="38"/>
      <c r="CR3" s="35"/>
      <c r="CS3" s="35"/>
      <c r="CT3" s="38"/>
      <c r="CU3" s="35"/>
      <c r="CV3" s="35"/>
      <c r="CW3" s="35"/>
      <c r="CX3" s="38"/>
      <c r="CY3" s="35"/>
      <c r="CZ3" s="35"/>
      <c r="DA3" s="38"/>
      <c r="DB3" s="35"/>
      <c r="DC3" s="35"/>
      <c r="DD3" s="38"/>
      <c r="DE3" s="38"/>
      <c r="DF3" s="35"/>
      <c r="DG3" s="35"/>
      <c r="DH3" s="38"/>
      <c r="DI3" s="35"/>
      <c r="DJ3" s="35"/>
      <c r="DK3" s="35"/>
      <c r="DL3" s="38"/>
      <c r="DM3" s="35"/>
      <c r="DN3" s="35"/>
      <c r="DO3" s="38"/>
      <c r="DP3" s="35"/>
      <c r="DQ3" s="35"/>
      <c r="DR3" s="38"/>
      <c r="DS3" s="38"/>
      <c r="DT3" s="35"/>
      <c r="DU3" s="35"/>
      <c r="DV3" s="38"/>
      <c r="DW3" s="35"/>
      <c r="DX3" s="35"/>
      <c r="DY3" s="35"/>
      <c r="DZ3" s="38"/>
      <c r="EA3" s="35"/>
      <c r="EB3" s="35"/>
      <c r="EC3" s="38"/>
      <c r="ED3" s="35"/>
      <c r="EE3" s="35"/>
      <c r="EF3" s="38"/>
      <c r="EG3" s="38"/>
      <c r="EH3" s="35"/>
      <c r="EI3" s="35"/>
      <c r="EJ3" s="38"/>
      <c r="EK3" s="35"/>
      <c r="EL3" s="35"/>
      <c r="EM3" s="35"/>
      <c r="EN3" s="38"/>
      <c r="EO3" s="35"/>
      <c r="EP3" s="35"/>
      <c r="EQ3" s="38"/>
      <c r="ER3" s="35"/>
      <c r="ES3" s="35"/>
      <c r="ET3" s="38"/>
      <c r="EU3" s="38"/>
      <c r="EV3" s="35"/>
      <c r="EW3" s="35"/>
      <c r="EX3" s="38"/>
      <c r="EY3" s="35"/>
      <c r="EZ3" s="35"/>
      <c r="FA3" s="35"/>
      <c r="FB3" s="38"/>
      <c r="FC3" s="35"/>
      <c r="FD3" s="35"/>
      <c r="FE3" s="38"/>
      <c r="FF3" s="35"/>
      <c r="FG3" s="35"/>
      <c r="FH3" s="38"/>
      <c r="FI3" s="38"/>
      <c r="FJ3" s="35"/>
      <c r="FK3" s="35"/>
      <c r="FL3" s="38"/>
      <c r="FM3" s="35"/>
      <c r="FN3" s="35"/>
      <c r="FO3" s="35"/>
      <c r="FP3" s="38"/>
      <c r="FQ3" s="35"/>
      <c r="FR3" s="35"/>
      <c r="FS3" s="38"/>
      <c r="FT3" s="35"/>
      <c r="FU3" s="35"/>
      <c r="FV3" s="38"/>
      <c r="FW3" s="38"/>
      <c r="FX3" s="35"/>
      <c r="FY3" s="35"/>
      <c r="FZ3" s="38"/>
      <c r="GA3" s="35"/>
      <c r="GB3" s="35"/>
      <c r="GC3" s="35"/>
      <c r="GD3" s="38"/>
      <c r="GE3" s="35"/>
      <c r="GF3" s="35"/>
      <c r="GG3" s="38"/>
      <c r="GH3" s="35"/>
      <c r="GI3" s="35"/>
      <c r="GJ3" s="38"/>
      <c r="GK3" s="38"/>
      <c r="GL3" s="35"/>
      <c r="GM3" s="35"/>
      <c r="GN3" s="38"/>
      <c r="GO3" s="35"/>
      <c r="GP3" s="35"/>
      <c r="GQ3" s="35"/>
      <c r="GR3" s="38"/>
      <c r="GS3" s="35"/>
      <c r="GT3" s="35"/>
      <c r="GU3" s="38"/>
      <c r="GV3" s="35"/>
      <c r="GW3" s="35"/>
      <c r="GX3" s="38"/>
      <c r="GY3" s="38"/>
      <c r="GZ3" s="35"/>
      <c r="HA3" s="35"/>
      <c r="HB3" s="38"/>
      <c r="HQ3" s="7">
        <v>-1</v>
      </c>
      <c r="HR3" s="7">
        <v>1</v>
      </c>
      <c r="HS3" s="7" t="s">
        <v>53</v>
      </c>
      <c r="HT3" s="7">
        <v>-1</v>
      </c>
      <c r="HU3" s="7">
        <v>1</v>
      </c>
      <c r="HV3" s="7" t="s">
        <v>54</v>
      </c>
      <c r="HW3" s="7">
        <v>-1</v>
      </c>
      <c r="HX3" s="7">
        <v>1</v>
      </c>
      <c r="HY3" s="7" t="s">
        <v>59</v>
      </c>
      <c r="HZ3" s="7">
        <v>-1</v>
      </c>
      <c r="IA3" s="7">
        <v>1</v>
      </c>
      <c r="IB3" s="7">
        <v>10</v>
      </c>
      <c r="IC3" s="7">
        <v>1</v>
      </c>
      <c r="ID3" s="7">
        <v>100</v>
      </c>
    </row>
  </sheetData>
  <sheetProtection formatCells="0" formatColumns="0" formatRows="0" sort="0" autoFilter="0"/>
  <pageMargins left="0.7" right="0.7" top="0.75" bottom="0.75" header="0.3" footer="0.3"/>
  <pageSetup scale="31" fitToHeight="0"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EqBudget">
    <pageSetUpPr fitToPage="1"/>
  </sheetPr>
  <dimension ref="A1:AY42"/>
  <sheetViews>
    <sheetView showGridLines="0" zoomScaleNormal="100" workbookViewId="0">
      <pane xSplit="1" topLeftCell="B1" activePane="topRight" state="frozen"/>
      <selection pane="topRight" activeCell="C17" sqref="C17"/>
    </sheetView>
  </sheetViews>
  <sheetFormatPr defaultColWidth="9.140625" defaultRowHeight="12.75" x14ac:dyDescent="0.2"/>
  <cols>
    <col min="1" max="1" width="15.85546875" style="6" customWidth="1"/>
    <col min="2" max="2" width="3" style="6" customWidth="1"/>
    <col min="3" max="3" width="34.85546875" style="6" customWidth="1"/>
    <col min="4" max="4" width="22.42578125" style="6" customWidth="1"/>
    <col min="5" max="5" width="16.42578125" style="6" customWidth="1"/>
    <col min="6" max="6" width="20" style="6" customWidth="1"/>
    <col min="7" max="7" width="20.42578125" style="6" customWidth="1"/>
    <col min="8" max="8" width="80.85546875" style="6" customWidth="1"/>
    <col min="9" max="9" width="1.5703125" style="6" customWidth="1"/>
    <col min="10" max="10" width="9.140625" style="64" hidden="1" customWidth="1"/>
    <col min="11" max="11" width="9.5703125" style="64" hidden="1" customWidth="1"/>
    <col min="12" max="12" width="12.42578125" style="64" hidden="1" customWidth="1"/>
    <col min="13" max="13" width="10.42578125" style="64" hidden="1" customWidth="1"/>
    <col min="14" max="26" width="9.140625" style="64" hidden="1" customWidth="1"/>
    <col min="27" max="27" width="9.140625" style="6" hidden="1" customWidth="1"/>
    <col min="28" max="28" width="4.42578125" style="6" hidden="1" customWidth="1"/>
    <col min="29" max="29" width="9.85546875" style="64" hidden="1" customWidth="1"/>
    <col min="30" max="30" width="34.85546875" style="6" customWidth="1"/>
    <col min="31" max="31" width="9.140625" style="6"/>
    <col min="32" max="46" width="7.85546875" style="6" customWidth="1"/>
    <col min="47" max="47" width="38.42578125" style="6" customWidth="1"/>
    <col min="48" max="48" width="9.140625" style="6" customWidth="1"/>
    <col min="49" max="267" width="9.140625" style="6"/>
    <col min="268" max="268" width="3" style="6" customWidth="1"/>
    <col min="269" max="269" width="38.5703125" style="6" customWidth="1"/>
    <col min="270" max="270" width="22.42578125" style="6" customWidth="1"/>
    <col min="271" max="271" width="16.42578125" style="6" customWidth="1"/>
    <col min="272" max="272" width="20" style="6" customWidth="1"/>
    <col min="273" max="273" width="20.42578125" style="6" customWidth="1"/>
    <col min="274" max="274" width="9.140625" style="6"/>
    <col min="275" max="288" width="0" style="6" hidden="1" customWidth="1"/>
    <col min="289" max="523" width="9.140625" style="6"/>
    <col min="524" max="524" width="3" style="6" customWidth="1"/>
    <col min="525" max="525" width="38.5703125" style="6" customWidth="1"/>
    <col min="526" max="526" width="22.42578125" style="6" customWidth="1"/>
    <col min="527" max="527" width="16.42578125" style="6" customWidth="1"/>
    <col min="528" max="528" width="20" style="6" customWidth="1"/>
    <col min="529" max="529" width="20.42578125" style="6" customWidth="1"/>
    <col min="530" max="530" width="9.140625" style="6"/>
    <col min="531" max="544" width="0" style="6" hidden="1" customWidth="1"/>
    <col min="545" max="779" width="9.140625" style="6"/>
    <col min="780" max="780" width="3" style="6" customWidth="1"/>
    <col min="781" max="781" width="38.5703125" style="6" customWidth="1"/>
    <col min="782" max="782" width="22.42578125" style="6" customWidth="1"/>
    <col min="783" max="783" width="16.42578125" style="6" customWidth="1"/>
    <col min="784" max="784" width="20" style="6" customWidth="1"/>
    <col min="785" max="785" width="20.42578125" style="6" customWidth="1"/>
    <col min="786" max="786" width="9.140625" style="6"/>
    <col min="787" max="800" width="0" style="6" hidden="1" customWidth="1"/>
    <col min="801" max="1035" width="9.140625" style="6"/>
    <col min="1036" max="1036" width="3" style="6" customWidth="1"/>
    <col min="1037" max="1037" width="38.5703125" style="6" customWidth="1"/>
    <col min="1038" max="1038" width="22.42578125" style="6" customWidth="1"/>
    <col min="1039" max="1039" width="16.42578125" style="6" customWidth="1"/>
    <col min="1040" max="1040" width="20" style="6" customWidth="1"/>
    <col min="1041" max="1041" width="20.42578125" style="6" customWidth="1"/>
    <col min="1042" max="1042" width="9.140625" style="6"/>
    <col min="1043" max="1056" width="0" style="6" hidden="1" customWidth="1"/>
    <col min="1057" max="1291" width="9.140625" style="6"/>
    <col min="1292" max="1292" width="3" style="6" customWidth="1"/>
    <col min="1293" max="1293" width="38.5703125" style="6" customWidth="1"/>
    <col min="1294" max="1294" width="22.42578125" style="6" customWidth="1"/>
    <col min="1295" max="1295" width="16.42578125" style="6" customWidth="1"/>
    <col min="1296" max="1296" width="20" style="6" customWidth="1"/>
    <col min="1297" max="1297" width="20.42578125" style="6" customWidth="1"/>
    <col min="1298" max="1298" width="9.140625" style="6"/>
    <col min="1299" max="1312" width="0" style="6" hidden="1" customWidth="1"/>
    <col min="1313" max="1547" width="9.140625" style="6"/>
    <col min="1548" max="1548" width="3" style="6" customWidth="1"/>
    <col min="1549" max="1549" width="38.5703125" style="6" customWidth="1"/>
    <col min="1550" max="1550" width="22.42578125" style="6" customWidth="1"/>
    <col min="1551" max="1551" width="16.42578125" style="6" customWidth="1"/>
    <col min="1552" max="1552" width="20" style="6" customWidth="1"/>
    <col min="1553" max="1553" width="20.42578125" style="6" customWidth="1"/>
    <col min="1554" max="1554" width="9.140625" style="6"/>
    <col min="1555" max="1568" width="0" style="6" hidden="1" customWidth="1"/>
    <col min="1569" max="1803" width="9.140625" style="6"/>
    <col min="1804" max="1804" width="3" style="6" customWidth="1"/>
    <col min="1805" max="1805" width="38.5703125" style="6" customWidth="1"/>
    <col min="1806" max="1806" width="22.42578125" style="6" customWidth="1"/>
    <col min="1807" max="1807" width="16.42578125" style="6" customWidth="1"/>
    <col min="1808" max="1808" width="20" style="6" customWidth="1"/>
    <col min="1809" max="1809" width="20.42578125" style="6" customWidth="1"/>
    <col min="1810" max="1810" width="9.140625" style="6"/>
    <col min="1811" max="1824" width="0" style="6" hidden="1" customWidth="1"/>
    <col min="1825" max="2059" width="9.140625" style="6"/>
    <col min="2060" max="2060" width="3" style="6" customWidth="1"/>
    <col min="2061" max="2061" width="38.5703125" style="6" customWidth="1"/>
    <col min="2062" max="2062" width="22.42578125" style="6" customWidth="1"/>
    <col min="2063" max="2063" width="16.42578125" style="6" customWidth="1"/>
    <col min="2064" max="2064" width="20" style="6" customWidth="1"/>
    <col min="2065" max="2065" width="20.42578125" style="6" customWidth="1"/>
    <col min="2066" max="2066" width="9.140625" style="6"/>
    <col min="2067" max="2080" width="0" style="6" hidden="1" customWidth="1"/>
    <col min="2081" max="2315" width="9.140625" style="6"/>
    <col min="2316" max="2316" width="3" style="6" customWidth="1"/>
    <col min="2317" max="2317" width="38.5703125" style="6" customWidth="1"/>
    <col min="2318" max="2318" width="22.42578125" style="6" customWidth="1"/>
    <col min="2319" max="2319" width="16.42578125" style="6" customWidth="1"/>
    <col min="2320" max="2320" width="20" style="6" customWidth="1"/>
    <col min="2321" max="2321" width="20.42578125" style="6" customWidth="1"/>
    <col min="2322" max="2322" width="9.140625" style="6"/>
    <col min="2323" max="2336" width="0" style="6" hidden="1" customWidth="1"/>
    <col min="2337" max="2571" width="9.140625" style="6"/>
    <col min="2572" max="2572" width="3" style="6" customWidth="1"/>
    <col min="2573" max="2573" width="38.5703125" style="6" customWidth="1"/>
    <col min="2574" max="2574" width="22.42578125" style="6" customWidth="1"/>
    <col min="2575" max="2575" width="16.42578125" style="6" customWidth="1"/>
    <col min="2576" max="2576" width="20" style="6" customWidth="1"/>
    <col min="2577" max="2577" width="20.42578125" style="6" customWidth="1"/>
    <col min="2578" max="2578" width="9.140625" style="6"/>
    <col min="2579" max="2592" width="0" style="6" hidden="1" customWidth="1"/>
    <col min="2593" max="2827" width="9.140625" style="6"/>
    <col min="2828" max="2828" width="3" style="6" customWidth="1"/>
    <col min="2829" max="2829" width="38.5703125" style="6" customWidth="1"/>
    <col min="2830" max="2830" width="22.42578125" style="6" customWidth="1"/>
    <col min="2831" max="2831" width="16.42578125" style="6" customWidth="1"/>
    <col min="2832" max="2832" width="20" style="6" customWidth="1"/>
    <col min="2833" max="2833" width="20.42578125" style="6" customWidth="1"/>
    <col min="2834" max="2834" width="9.140625" style="6"/>
    <col min="2835" max="2848" width="0" style="6" hidden="1" customWidth="1"/>
    <col min="2849" max="3083" width="9.140625" style="6"/>
    <col min="3084" max="3084" width="3" style="6" customWidth="1"/>
    <col min="3085" max="3085" width="38.5703125" style="6" customWidth="1"/>
    <col min="3086" max="3086" width="22.42578125" style="6" customWidth="1"/>
    <col min="3087" max="3087" width="16.42578125" style="6" customWidth="1"/>
    <col min="3088" max="3088" width="20" style="6" customWidth="1"/>
    <col min="3089" max="3089" width="20.42578125" style="6" customWidth="1"/>
    <col min="3090" max="3090" width="9.140625" style="6"/>
    <col min="3091" max="3104" width="0" style="6" hidden="1" customWidth="1"/>
    <col min="3105" max="3339" width="9.140625" style="6"/>
    <col min="3340" max="3340" width="3" style="6" customWidth="1"/>
    <col min="3341" max="3341" width="38.5703125" style="6" customWidth="1"/>
    <col min="3342" max="3342" width="22.42578125" style="6" customWidth="1"/>
    <col min="3343" max="3343" width="16.42578125" style="6" customWidth="1"/>
    <col min="3344" max="3344" width="20" style="6" customWidth="1"/>
    <col min="3345" max="3345" width="20.42578125" style="6" customWidth="1"/>
    <col min="3346" max="3346" width="9.140625" style="6"/>
    <col min="3347" max="3360" width="0" style="6" hidden="1" customWidth="1"/>
    <col min="3361" max="3595" width="9.140625" style="6"/>
    <col min="3596" max="3596" width="3" style="6" customWidth="1"/>
    <col min="3597" max="3597" width="38.5703125" style="6" customWidth="1"/>
    <col min="3598" max="3598" width="22.42578125" style="6" customWidth="1"/>
    <col min="3599" max="3599" width="16.42578125" style="6" customWidth="1"/>
    <col min="3600" max="3600" width="20" style="6" customWidth="1"/>
    <col min="3601" max="3601" width="20.42578125" style="6" customWidth="1"/>
    <col min="3602" max="3602" width="9.140625" style="6"/>
    <col min="3603" max="3616" width="0" style="6" hidden="1" customWidth="1"/>
    <col min="3617" max="3851" width="9.140625" style="6"/>
    <col min="3852" max="3852" width="3" style="6" customWidth="1"/>
    <col min="3853" max="3853" width="38.5703125" style="6" customWidth="1"/>
    <col min="3854" max="3854" width="22.42578125" style="6" customWidth="1"/>
    <col min="3855" max="3855" width="16.42578125" style="6" customWidth="1"/>
    <col min="3856" max="3856" width="20" style="6" customWidth="1"/>
    <col min="3857" max="3857" width="20.42578125" style="6" customWidth="1"/>
    <col min="3858" max="3858" width="9.140625" style="6"/>
    <col min="3859" max="3872" width="0" style="6" hidden="1" customWidth="1"/>
    <col min="3873" max="4107" width="9.140625" style="6"/>
    <col min="4108" max="4108" width="3" style="6" customWidth="1"/>
    <col min="4109" max="4109" width="38.5703125" style="6" customWidth="1"/>
    <col min="4110" max="4110" width="22.42578125" style="6" customWidth="1"/>
    <col min="4111" max="4111" width="16.42578125" style="6" customWidth="1"/>
    <col min="4112" max="4112" width="20" style="6" customWidth="1"/>
    <col min="4113" max="4113" width="20.42578125" style="6" customWidth="1"/>
    <col min="4114" max="4114" width="9.140625" style="6"/>
    <col min="4115" max="4128" width="0" style="6" hidden="1" customWidth="1"/>
    <col min="4129" max="4363" width="9.140625" style="6"/>
    <col min="4364" max="4364" width="3" style="6" customWidth="1"/>
    <col min="4365" max="4365" width="38.5703125" style="6" customWidth="1"/>
    <col min="4366" max="4366" width="22.42578125" style="6" customWidth="1"/>
    <col min="4367" max="4367" width="16.42578125" style="6" customWidth="1"/>
    <col min="4368" max="4368" width="20" style="6" customWidth="1"/>
    <col min="4369" max="4369" width="20.42578125" style="6" customWidth="1"/>
    <col min="4370" max="4370" width="9.140625" style="6"/>
    <col min="4371" max="4384" width="0" style="6" hidden="1" customWidth="1"/>
    <col min="4385" max="4619" width="9.140625" style="6"/>
    <col min="4620" max="4620" width="3" style="6" customWidth="1"/>
    <col min="4621" max="4621" width="38.5703125" style="6" customWidth="1"/>
    <col min="4622" max="4622" width="22.42578125" style="6" customWidth="1"/>
    <col min="4623" max="4623" width="16.42578125" style="6" customWidth="1"/>
    <col min="4624" max="4624" width="20" style="6" customWidth="1"/>
    <col min="4625" max="4625" width="20.42578125" style="6" customWidth="1"/>
    <col min="4626" max="4626" width="9.140625" style="6"/>
    <col min="4627" max="4640" width="0" style="6" hidden="1" customWidth="1"/>
    <col min="4641" max="4875" width="9.140625" style="6"/>
    <col min="4876" max="4876" width="3" style="6" customWidth="1"/>
    <col min="4877" max="4877" width="38.5703125" style="6" customWidth="1"/>
    <col min="4878" max="4878" width="22.42578125" style="6" customWidth="1"/>
    <col min="4879" max="4879" width="16.42578125" style="6" customWidth="1"/>
    <col min="4880" max="4880" width="20" style="6" customWidth="1"/>
    <col min="4881" max="4881" width="20.42578125" style="6" customWidth="1"/>
    <col min="4882" max="4882" width="9.140625" style="6"/>
    <col min="4883" max="4896" width="0" style="6" hidden="1" customWidth="1"/>
    <col min="4897" max="5131" width="9.140625" style="6"/>
    <col min="5132" max="5132" width="3" style="6" customWidth="1"/>
    <col min="5133" max="5133" width="38.5703125" style="6" customWidth="1"/>
    <col min="5134" max="5134" width="22.42578125" style="6" customWidth="1"/>
    <col min="5135" max="5135" width="16.42578125" style="6" customWidth="1"/>
    <col min="5136" max="5136" width="20" style="6" customWidth="1"/>
    <col min="5137" max="5137" width="20.42578125" style="6" customWidth="1"/>
    <col min="5138" max="5138" width="9.140625" style="6"/>
    <col min="5139" max="5152" width="0" style="6" hidden="1" customWidth="1"/>
    <col min="5153" max="5387" width="9.140625" style="6"/>
    <col min="5388" max="5388" width="3" style="6" customWidth="1"/>
    <col min="5389" max="5389" width="38.5703125" style="6" customWidth="1"/>
    <col min="5390" max="5390" width="22.42578125" style="6" customWidth="1"/>
    <col min="5391" max="5391" width="16.42578125" style="6" customWidth="1"/>
    <col min="5392" max="5392" width="20" style="6" customWidth="1"/>
    <col min="5393" max="5393" width="20.42578125" style="6" customWidth="1"/>
    <col min="5394" max="5394" width="9.140625" style="6"/>
    <col min="5395" max="5408" width="0" style="6" hidden="1" customWidth="1"/>
    <col min="5409" max="5643" width="9.140625" style="6"/>
    <col min="5644" max="5644" width="3" style="6" customWidth="1"/>
    <col min="5645" max="5645" width="38.5703125" style="6" customWidth="1"/>
    <col min="5646" max="5646" width="22.42578125" style="6" customWidth="1"/>
    <col min="5647" max="5647" width="16.42578125" style="6" customWidth="1"/>
    <col min="5648" max="5648" width="20" style="6" customWidth="1"/>
    <col min="5649" max="5649" width="20.42578125" style="6" customWidth="1"/>
    <col min="5650" max="5650" width="9.140625" style="6"/>
    <col min="5651" max="5664" width="0" style="6" hidden="1" customWidth="1"/>
    <col min="5665" max="5899" width="9.140625" style="6"/>
    <col min="5900" max="5900" width="3" style="6" customWidth="1"/>
    <col min="5901" max="5901" width="38.5703125" style="6" customWidth="1"/>
    <col min="5902" max="5902" width="22.42578125" style="6" customWidth="1"/>
    <col min="5903" max="5903" width="16.42578125" style="6" customWidth="1"/>
    <col min="5904" max="5904" width="20" style="6" customWidth="1"/>
    <col min="5905" max="5905" width="20.42578125" style="6" customWidth="1"/>
    <col min="5906" max="5906" width="9.140625" style="6"/>
    <col min="5907" max="5920" width="0" style="6" hidden="1" customWidth="1"/>
    <col min="5921" max="6155" width="9.140625" style="6"/>
    <col min="6156" max="6156" width="3" style="6" customWidth="1"/>
    <col min="6157" max="6157" width="38.5703125" style="6" customWidth="1"/>
    <col min="6158" max="6158" width="22.42578125" style="6" customWidth="1"/>
    <col min="6159" max="6159" width="16.42578125" style="6" customWidth="1"/>
    <col min="6160" max="6160" width="20" style="6" customWidth="1"/>
    <col min="6161" max="6161" width="20.42578125" style="6" customWidth="1"/>
    <col min="6162" max="6162" width="9.140625" style="6"/>
    <col min="6163" max="6176" width="0" style="6" hidden="1" customWidth="1"/>
    <col min="6177" max="6411" width="9.140625" style="6"/>
    <col min="6412" max="6412" width="3" style="6" customWidth="1"/>
    <col min="6413" max="6413" width="38.5703125" style="6" customWidth="1"/>
    <col min="6414" max="6414" width="22.42578125" style="6" customWidth="1"/>
    <col min="6415" max="6415" width="16.42578125" style="6" customWidth="1"/>
    <col min="6416" max="6416" width="20" style="6" customWidth="1"/>
    <col min="6417" max="6417" width="20.42578125" style="6" customWidth="1"/>
    <col min="6418" max="6418" width="9.140625" style="6"/>
    <col min="6419" max="6432" width="0" style="6" hidden="1" customWidth="1"/>
    <col min="6433" max="6667" width="9.140625" style="6"/>
    <col min="6668" max="6668" width="3" style="6" customWidth="1"/>
    <col min="6669" max="6669" width="38.5703125" style="6" customWidth="1"/>
    <col min="6670" max="6670" width="22.42578125" style="6" customWidth="1"/>
    <col min="6671" max="6671" width="16.42578125" style="6" customWidth="1"/>
    <col min="6672" max="6672" width="20" style="6" customWidth="1"/>
    <col min="6673" max="6673" width="20.42578125" style="6" customWidth="1"/>
    <col min="6674" max="6674" width="9.140625" style="6"/>
    <col min="6675" max="6688" width="0" style="6" hidden="1" customWidth="1"/>
    <col min="6689" max="6923" width="9.140625" style="6"/>
    <col min="6924" max="6924" width="3" style="6" customWidth="1"/>
    <col min="6925" max="6925" width="38.5703125" style="6" customWidth="1"/>
    <col min="6926" max="6926" width="22.42578125" style="6" customWidth="1"/>
    <col min="6927" max="6927" width="16.42578125" style="6" customWidth="1"/>
    <col min="6928" max="6928" width="20" style="6" customWidth="1"/>
    <col min="6929" max="6929" width="20.42578125" style="6" customWidth="1"/>
    <col min="6930" max="6930" width="9.140625" style="6"/>
    <col min="6931" max="6944" width="0" style="6" hidden="1" customWidth="1"/>
    <col min="6945" max="7179" width="9.140625" style="6"/>
    <col min="7180" max="7180" width="3" style="6" customWidth="1"/>
    <col min="7181" max="7181" width="38.5703125" style="6" customWidth="1"/>
    <col min="7182" max="7182" width="22.42578125" style="6" customWidth="1"/>
    <col min="7183" max="7183" width="16.42578125" style="6" customWidth="1"/>
    <col min="7184" max="7184" width="20" style="6" customWidth="1"/>
    <col min="7185" max="7185" width="20.42578125" style="6" customWidth="1"/>
    <col min="7186" max="7186" width="9.140625" style="6"/>
    <col min="7187" max="7200" width="0" style="6" hidden="1" customWidth="1"/>
    <col min="7201" max="7435" width="9.140625" style="6"/>
    <col min="7436" max="7436" width="3" style="6" customWidth="1"/>
    <col min="7437" max="7437" width="38.5703125" style="6" customWidth="1"/>
    <col min="7438" max="7438" width="22.42578125" style="6" customWidth="1"/>
    <col min="7439" max="7439" width="16.42578125" style="6" customWidth="1"/>
    <col min="7440" max="7440" width="20" style="6" customWidth="1"/>
    <col min="7441" max="7441" width="20.42578125" style="6" customWidth="1"/>
    <col min="7442" max="7442" width="9.140625" style="6"/>
    <col min="7443" max="7456" width="0" style="6" hidden="1" customWidth="1"/>
    <col min="7457" max="7691" width="9.140625" style="6"/>
    <col min="7692" max="7692" width="3" style="6" customWidth="1"/>
    <col min="7693" max="7693" width="38.5703125" style="6" customWidth="1"/>
    <col min="7694" max="7694" width="22.42578125" style="6" customWidth="1"/>
    <col min="7695" max="7695" width="16.42578125" style="6" customWidth="1"/>
    <col min="7696" max="7696" width="20" style="6" customWidth="1"/>
    <col min="7697" max="7697" width="20.42578125" style="6" customWidth="1"/>
    <col min="7698" max="7698" width="9.140625" style="6"/>
    <col min="7699" max="7712" width="0" style="6" hidden="1" customWidth="1"/>
    <col min="7713" max="7947" width="9.140625" style="6"/>
    <col min="7948" max="7948" width="3" style="6" customWidth="1"/>
    <col min="7949" max="7949" width="38.5703125" style="6" customWidth="1"/>
    <col min="7950" max="7950" width="22.42578125" style="6" customWidth="1"/>
    <col min="7951" max="7951" width="16.42578125" style="6" customWidth="1"/>
    <col min="7952" max="7952" width="20" style="6" customWidth="1"/>
    <col min="7953" max="7953" width="20.42578125" style="6" customWidth="1"/>
    <col min="7954" max="7954" width="9.140625" style="6"/>
    <col min="7955" max="7968" width="0" style="6" hidden="1" customWidth="1"/>
    <col min="7969" max="8203" width="9.140625" style="6"/>
    <col min="8204" max="8204" width="3" style="6" customWidth="1"/>
    <col min="8205" max="8205" width="38.5703125" style="6" customWidth="1"/>
    <col min="8206" max="8206" width="22.42578125" style="6" customWidth="1"/>
    <col min="8207" max="8207" width="16.42578125" style="6" customWidth="1"/>
    <col min="8208" max="8208" width="20" style="6" customWidth="1"/>
    <col min="8209" max="8209" width="20.42578125" style="6" customWidth="1"/>
    <col min="8210" max="8210" width="9.140625" style="6"/>
    <col min="8211" max="8224" width="0" style="6" hidden="1" customWidth="1"/>
    <col min="8225" max="8459" width="9.140625" style="6"/>
    <col min="8460" max="8460" width="3" style="6" customWidth="1"/>
    <col min="8461" max="8461" width="38.5703125" style="6" customWidth="1"/>
    <col min="8462" max="8462" width="22.42578125" style="6" customWidth="1"/>
    <col min="8463" max="8463" width="16.42578125" style="6" customWidth="1"/>
    <col min="8464" max="8464" width="20" style="6" customWidth="1"/>
    <col min="8465" max="8465" width="20.42578125" style="6" customWidth="1"/>
    <col min="8466" max="8466" width="9.140625" style="6"/>
    <col min="8467" max="8480" width="0" style="6" hidden="1" customWidth="1"/>
    <col min="8481" max="8715" width="9.140625" style="6"/>
    <col min="8716" max="8716" width="3" style="6" customWidth="1"/>
    <col min="8717" max="8717" width="38.5703125" style="6" customWidth="1"/>
    <col min="8718" max="8718" width="22.42578125" style="6" customWidth="1"/>
    <col min="8719" max="8719" width="16.42578125" style="6" customWidth="1"/>
    <col min="8720" max="8720" width="20" style="6" customWidth="1"/>
    <col min="8721" max="8721" width="20.42578125" style="6" customWidth="1"/>
    <col min="8722" max="8722" width="9.140625" style="6"/>
    <col min="8723" max="8736" width="0" style="6" hidden="1" customWidth="1"/>
    <col min="8737" max="8971" width="9.140625" style="6"/>
    <col min="8972" max="8972" width="3" style="6" customWidth="1"/>
    <col min="8973" max="8973" width="38.5703125" style="6" customWidth="1"/>
    <col min="8974" max="8974" width="22.42578125" style="6" customWidth="1"/>
    <col min="8975" max="8975" width="16.42578125" style="6" customWidth="1"/>
    <col min="8976" max="8976" width="20" style="6" customWidth="1"/>
    <col min="8977" max="8977" width="20.42578125" style="6" customWidth="1"/>
    <col min="8978" max="8978" width="9.140625" style="6"/>
    <col min="8979" max="8992" width="0" style="6" hidden="1" customWidth="1"/>
    <col min="8993" max="9227" width="9.140625" style="6"/>
    <col min="9228" max="9228" width="3" style="6" customWidth="1"/>
    <col min="9229" max="9229" width="38.5703125" style="6" customWidth="1"/>
    <col min="9230" max="9230" width="22.42578125" style="6" customWidth="1"/>
    <col min="9231" max="9231" width="16.42578125" style="6" customWidth="1"/>
    <col min="9232" max="9232" width="20" style="6" customWidth="1"/>
    <col min="9233" max="9233" width="20.42578125" style="6" customWidth="1"/>
    <col min="9234" max="9234" width="9.140625" style="6"/>
    <col min="9235" max="9248" width="0" style="6" hidden="1" customWidth="1"/>
    <col min="9249" max="9483" width="9.140625" style="6"/>
    <col min="9484" max="9484" width="3" style="6" customWidth="1"/>
    <col min="9485" max="9485" width="38.5703125" style="6" customWidth="1"/>
    <col min="9486" max="9486" width="22.42578125" style="6" customWidth="1"/>
    <col min="9487" max="9487" width="16.42578125" style="6" customWidth="1"/>
    <col min="9488" max="9488" width="20" style="6" customWidth="1"/>
    <col min="9489" max="9489" width="20.42578125" style="6" customWidth="1"/>
    <col min="9490" max="9490" width="9.140625" style="6"/>
    <col min="9491" max="9504" width="0" style="6" hidden="1" customWidth="1"/>
    <col min="9505" max="9739" width="9.140625" style="6"/>
    <col min="9740" max="9740" width="3" style="6" customWidth="1"/>
    <col min="9741" max="9741" width="38.5703125" style="6" customWidth="1"/>
    <col min="9742" max="9742" width="22.42578125" style="6" customWidth="1"/>
    <col min="9743" max="9743" width="16.42578125" style="6" customWidth="1"/>
    <col min="9744" max="9744" width="20" style="6" customWidth="1"/>
    <col min="9745" max="9745" width="20.42578125" style="6" customWidth="1"/>
    <col min="9746" max="9746" width="9.140625" style="6"/>
    <col min="9747" max="9760" width="0" style="6" hidden="1" customWidth="1"/>
    <col min="9761" max="9995" width="9.140625" style="6"/>
    <col min="9996" max="9996" width="3" style="6" customWidth="1"/>
    <col min="9997" max="9997" width="38.5703125" style="6" customWidth="1"/>
    <col min="9998" max="9998" width="22.42578125" style="6" customWidth="1"/>
    <col min="9999" max="9999" width="16.42578125" style="6" customWidth="1"/>
    <col min="10000" max="10000" width="20" style="6" customWidth="1"/>
    <col min="10001" max="10001" width="20.42578125" style="6" customWidth="1"/>
    <col min="10002" max="10002" width="9.140625" style="6"/>
    <col min="10003" max="10016" width="0" style="6" hidden="1" customWidth="1"/>
    <col min="10017" max="10251" width="9.140625" style="6"/>
    <col min="10252" max="10252" width="3" style="6" customWidth="1"/>
    <col min="10253" max="10253" width="38.5703125" style="6" customWidth="1"/>
    <col min="10254" max="10254" width="22.42578125" style="6" customWidth="1"/>
    <col min="10255" max="10255" width="16.42578125" style="6" customWidth="1"/>
    <col min="10256" max="10256" width="20" style="6" customWidth="1"/>
    <col min="10257" max="10257" width="20.42578125" style="6" customWidth="1"/>
    <col min="10258" max="10258" width="9.140625" style="6"/>
    <col min="10259" max="10272" width="0" style="6" hidden="1" customWidth="1"/>
    <col min="10273" max="10507" width="9.140625" style="6"/>
    <col min="10508" max="10508" width="3" style="6" customWidth="1"/>
    <col min="10509" max="10509" width="38.5703125" style="6" customWidth="1"/>
    <col min="10510" max="10510" width="22.42578125" style="6" customWidth="1"/>
    <col min="10511" max="10511" width="16.42578125" style="6" customWidth="1"/>
    <col min="10512" max="10512" width="20" style="6" customWidth="1"/>
    <col min="10513" max="10513" width="20.42578125" style="6" customWidth="1"/>
    <col min="10514" max="10514" width="9.140625" style="6"/>
    <col min="10515" max="10528" width="0" style="6" hidden="1" customWidth="1"/>
    <col min="10529" max="10763" width="9.140625" style="6"/>
    <col min="10764" max="10764" width="3" style="6" customWidth="1"/>
    <col min="10765" max="10765" width="38.5703125" style="6" customWidth="1"/>
    <col min="10766" max="10766" width="22.42578125" style="6" customWidth="1"/>
    <col min="10767" max="10767" width="16.42578125" style="6" customWidth="1"/>
    <col min="10768" max="10768" width="20" style="6" customWidth="1"/>
    <col min="10769" max="10769" width="20.42578125" style="6" customWidth="1"/>
    <col min="10770" max="10770" width="9.140625" style="6"/>
    <col min="10771" max="10784" width="0" style="6" hidden="1" customWidth="1"/>
    <col min="10785" max="11019" width="9.140625" style="6"/>
    <col min="11020" max="11020" width="3" style="6" customWidth="1"/>
    <col min="11021" max="11021" width="38.5703125" style="6" customWidth="1"/>
    <col min="11022" max="11022" width="22.42578125" style="6" customWidth="1"/>
    <col min="11023" max="11023" width="16.42578125" style="6" customWidth="1"/>
    <col min="11024" max="11024" width="20" style="6" customWidth="1"/>
    <col min="11025" max="11025" width="20.42578125" style="6" customWidth="1"/>
    <col min="11026" max="11026" width="9.140625" style="6"/>
    <col min="11027" max="11040" width="0" style="6" hidden="1" customWidth="1"/>
    <col min="11041" max="11275" width="9.140625" style="6"/>
    <col min="11276" max="11276" width="3" style="6" customWidth="1"/>
    <col min="11277" max="11277" width="38.5703125" style="6" customWidth="1"/>
    <col min="11278" max="11278" width="22.42578125" style="6" customWidth="1"/>
    <col min="11279" max="11279" width="16.42578125" style="6" customWidth="1"/>
    <col min="11280" max="11280" width="20" style="6" customWidth="1"/>
    <col min="11281" max="11281" width="20.42578125" style="6" customWidth="1"/>
    <col min="11282" max="11282" width="9.140625" style="6"/>
    <col min="11283" max="11296" width="0" style="6" hidden="1" customWidth="1"/>
    <col min="11297" max="11531" width="9.140625" style="6"/>
    <col min="11532" max="11532" width="3" style="6" customWidth="1"/>
    <col min="11533" max="11533" width="38.5703125" style="6" customWidth="1"/>
    <col min="11534" max="11534" width="22.42578125" style="6" customWidth="1"/>
    <col min="11535" max="11535" width="16.42578125" style="6" customWidth="1"/>
    <col min="11536" max="11536" width="20" style="6" customWidth="1"/>
    <col min="11537" max="11537" width="20.42578125" style="6" customWidth="1"/>
    <col min="11538" max="11538" width="9.140625" style="6"/>
    <col min="11539" max="11552" width="0" style="6" hidden="1" customWidth="1"/>
    <col min="11553" max="11787" width="9.140625" style="6"/>
    <col min="11788" max="11788" width="3" style="6" customWidth="1"/>
    <col min="11789" max="11789" width="38.5703125" style="6" customWidth="1"/>
    <col min="11790" max="11790" width="22.42578125" style="6" customWidth="1"/>
    <col min="11791" max="11791" width="16.42578125" style="6" customWidth="1"/>
    <col min="11792" max="11792" width="20" style="6" customWidth="1"/>
    <col min="11793" max="11793" width="20.42578125" style="6" customWidth="1"/>
    <col min="11794" max="11794" width="9.140625" style="6"/>
    <col min="11795" max="11808" width="0" style="6" hidden="1" customWidth="1"/>
    <col min="11809" max="12043" width="9.140625" style="6"/>
    <col min="12044" max="12044" width="3" style="6" customWidth="1"/>
    <col min="12045" max="12045" width="38.5703125" style="6" customWidth="1"/>
    <col min="12046" max="12046" width="22.42578125" style="6" customWidth="1"/>
    <col min="12047" max="12047" width="16.42578125" style="6" customWidth="1"/>
    <col min="12048" max="12048" width="20" style="6" customWidth="1"/>
    <col min="12049" max="12049" width="20.42578125" style="6" customWidth="1"/>
    <col min="12050" max="12050" width="9.140625" style="6"/>
    <col min="12051" max="12064" width="0" style="6" hidden="1" customWidth="1"/>
    <col min="12065" max="12299" width="9.140625" style="6"/>
    <col min="12300" max="12300" width="3" style="6" customWidth="1"/>
    <col min="12301" max="12301" width="38.5703125" style="6" customWidth="1"/>
    <col min="12302" max="12302" width="22.42578125" style="6" customWidth="1"/>
    <col min="12303" max="12303" width="16.42578125" style="6" customWidth="1"/>
    <col min="12304" max="12304" width="20" style="6" customWidth="1"/>
    <col min="12305" max="12305" width="20.42578125" style="6" customWidth="1"/>
    <col min="12306" max="12306" width="9.140625" style="6"/>
    <col min="12307" max="12320" width="0" style="6" hidden="1" customWidth="1"/>
    <col min="12321" max="12555" width="9.140625" style="6"/>
    <col min="12556" max="12556" width="3" style="6" customWidth="1"/>
    <col min="12557" max="12557" width="38.5703125" style="6" customWidth="1"/>
    <col min="12558" max="12558" width="22.42578125" style="6" customWidth="1"/>
    <col min="12559" max="12559" width="16.42578125" style="6" customWidth="1"/>
    <col min="12560" max="12560" width="20" style="6" customWidth="1"/>
    <col min="12561" max="12561" width="20.42578125" style="6" customWidth="1"/>
    <col min="12562" max="12562" width="9.140625" style="6"/>
    <col min="12563" max="12576" width="0" style="6" hidden="1" customWidth="1"/>
    <col min="12577" max="12811" width="9.140625" style="6"/>
    <col min="12812" max="12812" width="3" style="6" customWidth="1"/>
    <col min="12813" max="12813" width="38.5703125" style="6" customWidth="1"/>
    <col min="12814" max="12814" width="22.42578125" style="6" customWidth="1"/>
    <col min="12815" max="12815" width="16.42578125" style="6" customWidth="1"/>
    <col min="12816" max="12816" width="20" style="6" customWidth="1"/>
    <col min="12817" max="12817" width="20.42578125" style="6" customWidth="1"/>
    <col min="12818" max="12818" width="9.140625" style="6"/>
    <col min="12819" max="12832" width="0" style="6" hidden="1" customWidth="1"/>
    <col min="12833" max="13067" width="9.140625" style="6"/>
    <col min="13068" max="13068" width="3" style="6" customWidth="1"/>
    <col min="13069" max="13069" width="38.5703125" style="6" customWidth="1"/>
    <col min="13070" max="13070" width="22.42578125" style="6" customWidth="1"/>
    <col min="13071" max="13071" width="16.42578125" style="6" customWidth="1"/>
    <col min="13072" max="13072" width="20" style="6" customWidth="1"/>
    <col min="13073" max="13073" width="20.42578125" style="6" customWidth="1"/>
    <col min="13074" max="13074" width="9.140625" style="6"/>
    <col min="13075" max="13088" width="0" style="6" hidden="1" customWidth="1"/>
    <col min="13089" max="13323" width="9.140625" style="6"/>
    <col min="13324" max="13324" width="3" style="6" customWidth="1"/>
    <col min="13325" max="13325" width="38.5703125" style="6" customWidth="1"/>
    <col min="13326" max="13326" width="22.42578125" style="6" customWidth="1"/>
    <col min="13327" max="13327" width="16.42578125" style="6" customWidth="1"/>
    <col min="13328" max="13328" width="20" style="6" customWidth="1"/>
    <col min="13329" max="13329" width="20.42578125" style="6" customWidth="1"/>
    <col min="13330" max="13330" width="9.140625" style="6"/>
    <col min="13331" max="13344" width="0" style="6" hidden="1" customWidth="1"/>
    <col min="13345" max="13579" width="9.140625" style="6"/>
    <col min="13580" max="13580" width="3" style="6" customWidth="1"/>
    <col min="13581" max="13581" width="38.5703125" style="6" customWidth="1"/>
    <col min="13582" max="13582" width="22.42578125" style="6" customWidth="1"/>
    <col min="13583" max="13583" width="16.42578125" style="6" customWidth="1"/>
    <col min="13584" max="13584" width="20" style="6" customWidth="1"/>
    <col min="13585" max="13585" width="20.42578125" style="6" customWidth="1"/>
    <col min="13586" max="13586" width="9.140625" style="6"/>
    <col min="13587" max="13600" width="0" style="6" hidden="1" customWidth="1"/>
    <col min="13601" max="13835" width="9.140625" style="6"/>
    <col min="13836" max="13836" width="3" style="6" customWidth="1"/>
    <col min="13837" max="13837" width="38.5703125" style="6" customWidth="1"/>
    <col min="13838" max="13838" width="22.42578125" style="6" customWidth="1"/>
    <col min="13839" max="13839" width="16.42578125" style="6" customWidth="1"/>
    <col min="13840" max="13840" width="20" style="6" customWidth="1"/>
    <col min="13841" max="13841" width="20.42578125" style="6" customWidth="1"/>
    <col min="13842" max="13842" width="9.140625" style="6"/>
    <col min="13843" max="13856" width="0" style="6" hidden="1" customWidth="1"/>
    <col min="13857" max="14091" width="9.140625" style="6"/>
    <col min="14092" max="14092" width="3" style="6" customWidth="1"/>
    <col min="14093" max="14093" width="38.5703125" style="6" customWidth="1"/>
    <col min="14094" max="14094" width="22.42578125" style="6" customWidth="1"/>
    <col min="14095" max="14095" width="16.42578125" style="6" customWidth="1"/>
    <col min="14096" max="14096" width="20" style="6" customWidth="1"/>
    <col min="14097" max="14097" width="20.42578125" style="6" customWidth="1"/>
    <col min="14098" max="14098" width="9.140625" style="6"/>
    <col min="14099" max="14112" width="0" style="6" hidden="1" customWidth="1"/>
    <col min="14113" max="14347" width="9.140625" style="6"/>
    <col min="14348" max="14348" width="3" style="6" customWidth="1"/>
    <col min="14349" max="14349" width="38.5703125" style="6" customWidth="1"/>
    <col min="14350" max="14350" width="22.42578125" style="6" customWidth="1"/>
    <col min="14351" max="14351" width="16.42578125" style="6" customWidth="1"/>
    <col min="14352" max="14352" width="20" style="6" customWidth="1"/>
    <col min="14353" max="14353" width="20.42578125" style="6" customWidth="1"/>
    <col min="14354" max="14354" width="9.140625" style="6"/>
    <col min="14355" max="14368" width="0" style="6" hidden="1" customWidth="1"/>
    <col min="14369" max="14603" width="9.140625" style="6"/>
    <col min="14604" max="14604" width="3" style="6" customWidth="1"/>
    <col min="14605" max="14605" width="38.5703125" style="6" customWidth="1"/>
    <col min="14606" max="14606" width="22.42578125" style="6" customWidth="1"/>
    <col min="14607" max="14607" width="16.42578125" style="6" customWidth="1"/>
    <col min="14608" max="14608" width="20" style="6" customWidth="1"/>
    <col min="14609" max="14609" width="20.42578125" style="6" customWidth="1"/>
    <col min="14610" max="14610" width="9.140625" style="6"/>
    <col min="14611" max="14624" width="0" style="6" hidden="1" customWidth="1"/>
    <col min="14625" max="14859" width="9.140625" style="6"/>
    <col min="14860" max="14860" width="3" style="6" customWidth="1"/>
    <col min="14861" max="14861" width="38.5703125" style="6" customWidth="1"/>
    <col min="14862" max="14862" width="22.42578125" style="6" customWidth="1"/>
    <col min="14863" max="14863" width="16.42578125" style="6" customWidth="1"/>
    <col min="14864" max="14864" width="20" style="6" customWidth="1"/>
    <col min="14865" max="14865" width="20.42578125" style="6" customWidth="1"/>
    <col min="14866" max="14866" width="9.140625" style="6"/>
    <col min="14867" max="14880" width="0" style="6" hidden="1" customWidth="1"/>
    <col min="14881" max="15115" width="9.140625" style="6"/>
    <col min="15116" max="15116" width="3" style="6" customWidth="1"/>
    <col min="15117" max="15117" width="38.5703125" style="6" customWidth="1"/>
    <col min="15118" max="15118" width="22.42578125" style="6" customWidth="1"/>
    <col min="15119" max="15119" width="16.42578125" style="6" customWidth="1"/>
    <col min="15120" max="15120" width="20" style="6" customWidth="1"/>
    <col min="15121" max="15121" width="20.42578125" style="6" customWidth="1"/>
    <col min="15122" max="15122" width="9.140625" style="6"/>
    <col min="15123" max="15136" width="0" style="6" hidden="1" customWidth="1"/>
    <col min="15137" max="15371" width="9.140625" style="6"/>
    <col min="15372" max="15372" width="3" style="6" customWidth="1"/>
    <col min="15373" max="15373" width="38.5703125" style="6" customWidth="1"/>
    <col min="15374" max="15374" width="22.42578125" style="6" customWidth="1"/>
    <col min="15375" max="15375" width="16.42578125" style="6" customWidth="1"/>
    <col min="15376" max="15376" width="20" style="6" customWidth="1"/>
    <col min="15377" max="15377" width="20.42578125" style="6" customWidth="1"/>
    <col min="15378" max="15378" width="9.140625" style="6"/>
    <col min="15379" max="15392" width="0" style="6" hidden="1" customWidth="1"/>
    <col min="15393" max="15627" width="9.140625" style="6"/>
    <col min="15628" max="15628" width="3" style="6" customWidth="1"/>
    <col min="15629" max="15629" width="38.5703125" style="6" customWidth="1"/>
    <col min="15630" max="15630" width="22.42578125" style="6" customWidth="1"/>
    <col min="15631" max="15631" width="16.42578125" style="6" customWidth="1"/>
    <col min="15632" max="15632" width="20" style="6" customWidth="1"/>
    <col min="15633" max="15633" width="20.42578125" style="6" customWidth="1"/>
    <col min="15634" max="15634" width="9.140625" style="6"/>
    <col min="15635" max="15648" width="0" style="6" hidden="1" customWidth="1"/>
    <col min="15649" max="15883" width="9.140625" style="6"/>
    <col min="15884" max="15884" width="3" style="6" customWidth="1"/>
    <col min="15885" max="15885" width="38.5703125" style="6" customWidth="1"/>
    <col min="15886" max="15886" width="22.42578125" style="6" customWidth="1"/>
    <col min="15887" max="15887" width="16.42578125" style="6" customWidth="1"/>
    <col min="15888" max="15888" width="20" style="6" customWidth="1"/>
    <col min="15889" max="15889" width="20.42578125" style="6" customWidth="1"/>
    <col min="15890" max="15890" width="9.140625" style="6"/>
    <col min="15891" max="15904" width="0" style="6" hidden="1" customWidth="1"/>
    <col min="15905" max="16139" width="9.140625" style="6"/>
    <col min="16140" max="16140" width="3" style="6" customWidth="1"/>
    <col min="16141" max="16141" width="38.5703125" style="6" customWidth="1"/>
    <col min="16142" max="16142" width="22.42578125" style="6" customWidth="1"/>
    <col min="16143" max="16143" width="16.42578125" style="6" customWidth="1"/>
    <col min="16144" max="16144" width="20" style="6" customWidth="1"/>
    <col min="16145" max="16145" width="20.42578125" style="6" customWidth="1"/>
    <col min="16146" max="16146" width="9.140625" style="6"/>
    <col min="16147" max="16160" width="0" style="6" hidden="1" customWidth="1"/>
    <col min="16161" max="16384" width="9.140625" style="6"/>
  </cols>
  <sheetData>
    <row r="1" spans="1:51" ht="35.450000000000003" customHeight="1" thickBot="1" x14ac:dyDescent="0.25">
      <c r="B1" s="371" t="s">
        <v>97</v>
      </c>
      <c r="C1" s="372"/>
      <c r="D1" s="372"/>
      <c r="E1" s="372"/>
      <c r="F1" s="372"/>
      <c r="G1" s="373"/>
    </row>
    <row r="2" spans="1:51" ht="30" customHeight="1" thickBot="1" x14ac:dyDescent="0.25">
      <c r="B2" s="317" t="s">
        <v>316</v>
      </c>
      <c r="C2" s="317"/>
      <c r="D2" s="374" t="s">
        <v>365</v>
      </c>
      <c r="E2" s="376"/>
      <c r="F2" s="376"/>
      <c r="G2" s="377"/>
      <c r="AC2" s="64" t="s">
        <v>364</v>
      </c>
      <c r="AY2" s="103">
        <f t="shared" ref="AY2:AY15" si="0">IF( F16 &lt;&gt; "", F16*F16*G16*G16/($F$34*$F$34), "")</f>
        <v>0.50000024319442182</v>
      </c>
    </row>
    <row r="3" spans="1:51" ht="13.5" thickBot="1" x14ac:dyDescent="0.25">
      <c r="B3" s="317" t="s">
        <v>5</v>
      </c>
      <c r="C3" s="317"/>
      <c r="D3" s="360" t="s">
        <v>359</v>
      </c>
      <c r="E3" s="358"/>
      <c r="F3" s="358"/>
      <c r="G3" s="359"/>
      <c r="AC3" s="64">
        <v>32</v>
      </c>
      <c r="AY3" s="103">
        <f t="shared" si="0"/>
        <v>0.49999975680557796</v>
      </c>
    </row>
    <row r="4" spans="1:51" ht="12.75" customHeight="1" thickBot="1" x14ac:dyDescent="0.25">
      <c r="B4" s="370" t="s">
        <v>3</v>
      </c>
      <c r="C4" s="370"/>
      <c r="D4" s="360" t="s">
        <v>360</v>
      </c>
      <c r="E4" s="358"/>
      <c r="F4" s="358"/>
      <c r="G4" s="359"/>
      <c r="AC4" s="64" t="s">
        <v>260</v>
      </c>
      <c r="AY4" s="103" t="str">
        <f t="shared" si="0"/>
        <v/>
      </c>
    </row>
    <row r="5" spans="1:51" ht="13.5" thickBot="1" x14ac:dyDescent="0.25">
      <c r="B5" s="317" t="s">
        <v>321</v>
      </c>
      <c r="C5" s="317"/>
      <c r="D5" s="368">
        <v>44393</v>
      </c>
      <c r="E5" s="358"/>
      <c r="F5" s="358"/>
      <c r="G5" s="359"/>
      <c r="AC5" s="64" t="s">
        <v>261</v>
      </c>
      <c r="AY5" s="103" t="str">
        <f t="shared" si="0"/>
        <v/>
      </c>
    </row>
    <row r="6" spans="1:51" ht="13.7" customHeight="1" thickBot="1" x14ac:dyDescent="0.25">
      <c r="B6" s="317" t="s">
        <v>68</v>
      </c>
      <c r="C6" s="317"/>
      <c r="D6" s="360"/>
      <c r="E6" s="358"/>
      <c r="F6" s="358"/>
      <c r="G6" s="359"/>
      <c r="AC6" s="64" t="s">
        <v>198</v>
      </c>
      <c r="AY6" s="103" t="str">
        <f t="shared" si="0"/>
        <v/>
      </c>
    </row>
    <row r="7" spans="1:51" ht="13.7" customHeight="1" thickBot="1" x14ac:dyDescent="0.25">
      <c r="B7" s="317" t="s">
        <v>309</v>
      </c>
      <c r="C7" s="317"/>
      <c r="D7" s="360" t="s">
        <v>367</v>
      </c>
      <c r="E7" s="358"/>
      <c r="F7" s="358"/>
      <c r="G7" s="359"/>
      <c r="J7" s="64" t="s">
        <v>98</v>
      </c>
      <c r="K7" s="65">
        <v>9.9999999999999995E-8</v>
      </c>
      <c r="AC7" s="64" t="s">
        <v>219</v>
      </c>
      <c r="AY7" s="103" t="str">
        <f t="shared" si="0"/>
        <v/>
      </c>
    </row>
    <row r="8" spans="1:51" ht="13.7" customHeight="1" thickBot="1" x14ac:dyDescent="0.25">
      <c r="B8" s="317" t="s">
        <v>12</v>
      </c>
      <c r="C8" s="317"/>
      <c r="D8" s="360"/>
      <c r="E8" s="358"/>
      <c r="F8" s="358"/>
      <c r="G8" s="359"/>
      <c r="AC8" s="64" t="s">
        <v>159</v>
      </c>
      <c r="AY8" s="103" t="str">
        <f t="shared" si="0"/>
        <v/>
      </c>
    </row>
    <row r="9" spans="1:51" ht="13.7" customHeight="1" thickBot="1" x14ac:dyDescent="0.25">
      <c r="B9" s="317" t="s">
        <v>14</v>
      </c>
      <c r="C9" s="317"/>
      <c r="D9" s="366" t="s">
        <v>369</v>
      </c>
      <c r="E9" s="358"/>
      <c r="F9" s="358"/>
      <c r="G9" s="359"/>
      <c r="AC9" s="64" t="s">
        <v>262</v>
      </c>
      <c r="AY9" s="103" t="str">
        <f t="shared" si="0"/>
        <v/>
      </c>
    </row>
    <row r="10" spans="1:51" ht="13.7" customHeight="1" thickBot="1" x14ac:dyDescent="0.25">
      <c r="B10" s="354" t="s">
        <v>184</v>
      </c>
      <c r="C10" s="355"/>
      <c r="D10" s="360"/>
      <c r="E10" s="358"/>
      <c r="F10" s="358"/>
      <c r="G10" s="359"/>
      <c r="L10" s="64" t="s">
        <v>99</v>
      </c>
      <c r="M10" s="64" t="s">
        <v>100</v>
      </c>
      <c r="N10" s="64" t="s">
        <v>101</v>
      </c>
      <c r="O10" s="64" t="s">
        <v>102</v>
      </c>
      <c r="P10" s="64" t="s">
        <v>43</v>
      </c>
      <c r="Q10" s="64" t="s">
        <v>103</v>
      </c>
      <c r="R10" s="64" t="s">
        <v>104</v>
      </c>
      <c r="S10" s="64" t="s">
        <v>105</v>
      </c>
      <c r="T10" s="64" t="s">
        <v>106</v>
      </c>
      <c r="U10" s="64" t="s">
        <v>107</v>
      </c>
      <c r="V10" s="64" t="s">
        <v>162</v>
      </c>
      <c r="W10" s="64" t="s">
        <v>163</v>
      </c>
      <c r="X10" s="64" t="s">
        <v>164</v>
      </c>
      <c r="Y10" s="64" t="s">
        <v>165</v>
      </c>
      <c r="Z10" s="64" t="s">
        <v>166</v>
      </c>
      <c r="AC10" s="64">
        <v>2</v>
      </c>
      <c r="AF10" s="100"/>
      <c r="AY10" s="103" t="str">
        <f t="shared" si="0"/>
        <v/>
      </c>
    </row>
    <row r="11" spans="1:51" ht="13.35" customHeight="1" thickBot="1" x14ac:dyDescent="0.25">
      <c r="B11" s="354" t="s">
        <v>61</v>
      </c>
      <c r="C11" s="355"/>
      <c r="D11" s="356" t="s">
        <v>34</v>
      </c>
      <c r="E11" s="358"/>
      <c r="F11" s="358"/>
      <c r="G11" s="359"/>
      <c r="K11" s="64" t="s">
        <v>108</v>
      </c>
      <c r="L11" s="64">
        <f>D16</f>
        <v>25</v>
      </c>
      <c r="M11" s="64">
        <f>D17</f>
        <v>30</v>
      </c>
      <c r="N11" s="66">
        <f>D18</f>
        <v>0</v>
      </c>
      <c r="O11" s="66">
        <f>D19</f>
        <v>0</v>
      </c>
      <c r="P11" s="66">
        <f>D20</f>
        <v>0</v>
      </c>
      <c r="Q11" s="66">
        <f>D21</f>
        <v>0</v>
      </c>
      <c r="R11" s="66">
        <f>D22</f>
        <v>0</v>
      </c>
      <c r="S11" s="66">
        <f>D23</f>
        <v>0</v>
      </c>
      <c r="T11" s="66">
        <f>D24</f>
        <v>0</v>
      </c>
      <c r="U11" s="66">
        <f>D25</f>
        <v>0</v>
      </c>
      <c r="V11" s="66">
        <f>D26</f>
        <v>0</v>
      </c>
      <c r="W11" s="66">
        <f>D27</f>
        <v>0</v>
      </c>
      <c r="X11" s="66">
        <f>D28</f>
        <v>0</v>
      </c>
      <c r="Y11" s="66">
        <f>D29</f>
        <v>0</v>
      </c>
      <c r="Z11" s="66">
        <f>D30</f>
        <v>0</v>
      </c>
      <c r="AY11" s="103" t="str">
        <f t="shared" si="0"/>
        <v/>
      </c>
    </row>
    <row r="12" spans="1:51" ht="13.5" thickBot="1" x14ac:dyDescent="0.25">
      <c r="B12" s="354" t="s">
        <v>314</v>
      </c>
      <c r="C12" s="355"/>
      <c r="D12" s="360"/>
      <c r="E12" s="358"/>
      <c r="F12" s="358"/>
      <c r="G12" s="359"/>
      <c r="K12" s="64" t="s">
        <v>109</v>
      </c>
      <c r="L12" s="64" t="str">
        <f>E16</f>
        <v xml:space="preserve"> </v>
      </c>
      <c r="M12" s="64" t="str">
        <f>E17</f>
        <v xml:space="preserve"> </v>
      </c>
      <c r="N12" s="66">
        <f>E18</f>
        <v>0</v>
      </c>
      <c r="O12" s="66">
        <f>E19</f>
        <v>0</v>
      </c>
      <c r="P12" s="66">
        <f>E20</f>
        <v>0</v>
      </c>
      <c r="Q12" s="66">
        <f>E21</f>
        <v>0</v>
      </c>
      <c r="R12" s="66">
        <f>E22</f>
        <v>0</v>
      </c>
      <c r="S12" s="66">
        <f>E23</f>
        <v>0</v>
      </c>
      <c r="T12" s="66">
        <f>E24</f>
        <v>0</v>
      </c>
      <c r="U12" s="66">
        <f>E25</f>
        <v>0</v>
      </c>
      <c r="V12" s="66">
        <f>E26</f>
        <v>0</v>
      </c>
      <c r="W12" s="66">
        <f>E27</f>
        <v>0</v>
      </c>
      <c r="X12" s="66">
        <f>E28</f>
        <v>0</v>
      </c>
      <c r="Y12" s="66">
        <f>E29</f>
        <v>0</v>
      </c>
      <c r="Z12" s="66">
        <f>E30</f>
        <v>0</v>
      </c>
      <c r="AY12" s="103" t="str">
        <f t="shared" si="0"/>
        <v/>
      </c>
    </row>
    <row r="13" spans="1:51" ht="42.6" customHeight="1" x14ac:dyDescent="0.2">
      <c r="A13" s="99"/>
      <c r="B13" s="361" t="s">
        <v>136</v>
      </c>
      <c r="C13" s="362"/>
      <c r="D13" s="363"/>
      <c r="E13" s="364"/>
      <c r="F13" s="364"/>
      <c r="G13" s="365"/>
      <c r="K13" s="64" t="s">
        <v>42</v>
      </c>
      <c r="L13" s="66">
        <f>F16</f>
        <v>6.2766179852953727E-2</v>
      </c>
      <c r="M13" s="66">
        <f>F17</f>
        <v>7.531938661460276E-2</v>
      </c>
      <c r="N13" s="64">
        <f>F18</f>
        <v>0</v>
      </c>
      <c r="O13" s="66">
        <f>F19</f>
        <v>0</v>
      </c>
      <c r="P13" s="66">
        <f>F20</f>
        <v>0</v>
      </c>
      <c r="Q13" s="66">
        <f>F21</f>
        <v>0</v>
      </c>
      <c r="R13" s="66">
        <f>F22</f>
        <v>0</v>
      </c>
      <c r="S13" s="66">
        <f>F23</f>
        <v>0</v>
      </c>
      <c r="T13" s="66">
        <f>F24</f>
        <v>0</v>
      </c>
      <c r="U13" s="66">
        <f>F25</f>
        <v>0</v>
      </c>
      <c r="V13" s="66">
        <f>F26</f>
        <v>0</v>
      </c>
      <c r="W13" s="66">
        <f>F27</f>
        <v>0</v>
      </c>
      <c r="X13" s="66">
        <f>F28</f>
        <v>0</v>
      </c>
      <c r="Y13" s="66">
        <f>F29</f>
        <v>0</v>
      </c>
      <c r="Z13" s="66">
        <f>F30</f>
        <v>0</v>
      </c>
      <c r="AY13" s="103" t="str">
        <f t="shared" si="0"/>
        <v/>
      </c>
    </row>
    <row r="14" spans="1:51" ht="15.6" customHeight="1" x14ac:dyDescent="0.2">
      <c r="B14" s="353" t="s">
        <v>110</v>
      </c>
      <c r="C14" s="353"/>
      <c r="D14" s="353"/>
      <c r="E14" s="353"/>
      <c r="F14" s="353"/>
      <c r="G14" s="353"/>
      <c r="I14" s="105"/>
      <c r="AD14" s="114"/>
      <c r="AE14" s="333" t="s">
        <v>140</v>
      </c>
      <c r="AF14" s="334"/>
      <c r="AG14" s="334"/>
      <c r="AH14" s="334"/>
      <c r="AI14" s="334"/>
      <c r="AJ14" s="334"/>
      <c r="AK14" s="334"/>
      <c r="AL14" s="334"/>
      <c r="AM14" s="334"/>
      <c r="AN14" s="334"/>
      <c r="AO14" s="334"/>
      <c r="AP14" s="334"/>
      <c r="AQ14" s="334"/>
      <c r="AR14" s="334"/>
      <c r="AS14" s="334"/>
      <c r="AT14" s="335"/>
      <c r="AY14" s="103" t="str">
        <f t="shared" si="0"/>
        <v/>
      </c>
    </row>
    <row r="15" spans="1:51" ht="24" customHeight="1" x14ac:dyDescent="0.2">
      <c r="A15" s="99" t="s">
        <v>137</v>
      </c>
      <c r="B15" s="336" t="s">
        <v>111</v>
      </c>
      <c r="C15" s="337"/>
      <c r="D15" s="12" t="s">
        <v>112</v>
      </c>
      <c r="E15" s="110" t="s">
        <v>113</v>
      </c>
      <c r="F15" s="109" t="s">
        <v>19</v>
      </c>
      <c r="G15" s="110" t="s">
        <v>114</v>
      </c>
      <c r="I15" s="106"/>
      <c r="AD15" s="110" t="s">
        <v>111</v>
      </c>
      <c r="AE15" s="12" t="s">
        <v>141</v>
      </c>
      <c r="AF15" s="108">
        <v>1</v>
      </c>
      <c r="AG15" s="12">
        <v>2</v>
      </c>
      <c r="AH15" s="12">
        <v>3</v>
      </c>
      <c r="AI15" s="12">
        <v>4</v>
      </c>
      <c r="AJ15" s="12">
        <v>5</v>
      </c>
      <c r="AK15" s="12">
        <v>6</v>
      </c>
      <c r="AL15" s="108">
        <v>7</v>
      </c>
      <c r="AM15" s="12">
        <v>8</v>
      </c>
      <c r="AN15" s="12">
        <v>9</v>
      </c>
      <c r="AO15" s="12">
        <v>10</v>
      </c>
      <c r="AP15" s="12">
        <v>11</v>
      </c>
      <c r="AQ15" s="12">
        <v>12</v>
      </c>
      <c r="AR15" s="12">
        <v>13</v>
      </c>
      <c r="AS15" s="12">
        <v>14</v>
      </c>
      <c r="AT15" s="12">
        <v>15</v>
      </c>
      <c r="AY15" s="103" t="str">
        <f t="shared" si="0"/>
        <v/>
      </c>
    </row>
    <row r="16" spans="1:51" x14ac:dyDescent="0.2">
      <c r="B16" s="67">
        <v>1</v>
      </c>
      <c r="C16" s="80" t="s">
        <v>351</v>
      </c>
      <c r="D16" s="176">
        <v>25</v>
      </c>
      <c r="E16" s="231" t="s">
        <v>34</v>
      </c>
      <c r="F16" s="176">
        <v>6.2766179852953727E-2</v>
      </c>
      <c r="G16" s="178">
        <f>IF(L35 = 0, " ",L35)</f>
        <v>3.3333333337992599E-2</v>
      </c>
      <c r="H16" s="26"/>
      <c r="I16" s="106"/>
      <c r="J16" s="64" t="s">
        <v>99</v>
      </c>
      <c r="K16" s="71">
        <f t="shared" ref="K16:K30" si="1">D16</f>
        <v>25</v>
      </c>
      <c r="L16" s="18">
        <f>IF( $K$16 = 0, Delta, $K$16*(1+Delta))</f>
        <v>25.000002500000001</v>
      </c>
      <c r="M16" s="72">
        <f t="shared" ref="M16:Z16" si="2">$K$16</f>
        <v>25</v>
      </c>
      <c r="N16" s="72">
        <f t="shared" si="2"/>
        <v>25</v>
      </c>
      <c r="O16" s="72">
        <f t="shared" si="2"/>
        <v>25</v>
      </c>
      <c r="P16" s="72">
        <f t="shared" si="2"/>
        <v>25</v>
      </c>
      <c r="Q16" s="72">
        <f t="shared" si="2"/>
        <v>25</v>
      </c>
      <c r="R16" s="72">
        <f t="shared" si="2"/>
        <v>25</v>
      </c>
      <c r="S16" s="72">
        <f t="shared" si="2"/>
        <v>25</v>
      </c>
      <c r="T16" s="72">
        <f t="shared" si="2"/>
        <v>25</v>
      </c>
      <c r="U16" s="72">
        <f t="shared" si="2"/>
        <v>25</v>
      </c>
      <c r="V16" s="72">
        <f t="shared" si="2"/>
        <v>25</v>
      </c>
      <c r="W16" s="72">
        <f t="shared" si="2"/>
        <v>25</v>
      </c>
      <c r="X16" s="72">
        <f t="shared" si="2"/>
        <v>25</v>
      </c>
      <c r="Y16" s="72">
        <f t="shared" si="2"/>
        <v>25</v>
      </c>
      <c r="Z16" s="72">
        <f t="shared" si="2"/>
        <v>25</v>
      </c>
      <c r="AD16" s="80" t="str">
        <f>IF(C16&lt;&gt;"", C16, "")</f>
        <v>AC Voltage 1</v>
      </c>
      <c r="AE16" s="74">
        <v>1</v>
      </c>
      <c r="AF16" s="33">
        <v>1</v>
      </c>
      <c r="AG16" s="33"/>
      <c r="AH16" s="33"/>
      <c r="AI16" s="33"/>
      <c r="AJ16" s="33"/>
      <c r="AK16" s="33"/>
      <c r="AL16" s="33"/>
      <c r="AM16" s="33"/>
      <c r="AN16" s="33"/>
      <c r="AO16" s="33"/>
      <c r="AP16" s="33"/>
      <c r="AQ16" s="33"/>
      <c r="AR16" s="33"/>
      <c r="AS16" s="33"/>
      <c r="AT16" s="33"/>
      <c r="AY16" s="103" t="str">
        <f>IF( F32 &lt;&gt; "", F32*F32*G32*G32/($F$34*$F$34), "")</f>
        <v/>
      </c>
    </row>
    <row r="17" spans="2:51" x14ac:dyDescent="0.2">
      <c r="B17" s="67">
        <v>2</v>
      </c>
      <c r="C17" s="80" t="s">
        <v>346</v>
      </c>
      <c r="D17" s="176">
        <v>30</v>
      </c>
      <c r="E17" s="73" t="s">
        <v>34</v>
      </c>
      <c r="F17" s="176">
        <v>7.531938661460276E-2</v>
      </c>
      <c r="G17" s="178">
        <f>IF(M35 = 0, " ",M35)</f>
        <v>-2.7777775043110371E-2</v>
      </c>
      <c r="H17" s="26"/>
      <c r="I17" s="106"/>
      <c r="J17" s="64" t="s">
        <v>100</v>
      </c>
      <c r="K17" s="71">
        <f t="shared" si="1"/>
        <v>30</v>
      </c>
      <c r="L17" s="18">
        <f>$K$17</f>
        <v>30</v>
      </c>
      <c r="M17" s="89">
        <f>IF( $K$17 = 0, Delta, $K$17*(1+Delta))</f>
        <v>30.000003000000003</v>
      </c>
      <c r="N17" s="72">
        <f t="shared" ref="N17:Z17" si="3">$K$17</f>
        <v>30</v>
      </c>
      <c r="O17" s="72">
        <f t="shared" si="3"/>
        <v>30</v>
      </c>
      <c r="P17" s="72">
        <f t="shared" si="3"/>
        <v>30</v>
      </c>
      <c r="Q17" s="72">
        <f t="shared" si="3"/>
        <v>30</v>
      </c>
      <c r="R17" s="72">
        <f t="shared" si="3"/>
        <v>30</v>
      </c>
      <c r="S17" s="72">
        <f t="shared" si="3"/>
        <v>30</v>
      </c>
      <c r="T17" s="72">
        <f t="shared" si="3"/>
        <v>30</v>
      </c>
      <c r="U17" s="72">
        <f t="shared" si="3"/>
        <v>30</v>
      </c>
      <c r="V17" s="72">
        <f t="shared" si="3"/>
        <v>30</v>
      </c>
      <c r="W17" s="72">
        <f t="shared" si="3"/>
        <v>30</v>
      </c>
      <c r="X17" s="72">
        <f t="shared" si="3"/>
        <v>30</v>
      </c>
      <c r="Y17" s="72">
        <f t="shared" si="3"/>
        <v>30</v>
      </c>
      <c r="Z17" s="72">
        <f t="shared" si="3"/>
        <v>30</v>
      </c>
      <c r="AD17" s="80" t="str">
        <f t="shared" ref="AD17:AD30" si="4">IF(C17&lt;&gt;"", C17, "")</f>
        <v>AC Voltage 2</v>
      </c>
      <c r="AE17" s="67">
        <v>2</v>
      </c>
      <c r="AF17" s="34">
        <v>0</v>
      </c>
      <c r="AG17" s="33">
        <v>1</v>
      </c>
      <c r="AH17" s="33"/>
      <c r="AI17" s="33"/>
      <c r="AJ17" s="33"/>
      <c r="AK17" s="33"/>
      <c r="AL17" s="33"/>
      <c r="AM17" s="33"/>
      <c r="AN17" s="33"/>
      <c r="AO17" s="33"/>
      <c r="AP17" s="33"/>
      <c r="AQ17" s="33"/>
      <c r="AR17" s="33"/>
      <c r="AS17" s="33"/>
      <c r="AT17" s="33"/>
    </row>
    <row r="18" spans="2:51" ht="12.75" customHeight="1" x14ac:dyDescent="0.2">
      <c r="B18" s="67">
        <v>3</v>
      </c>
      <c r="C18" s="80"/>
      <c r="D18" s="176"/>
      <c r="E18" s="72"/>
      <c r="F18" s="177"/>
      <c r="G18" s="178" t="str">
        <f>IF(N35 = 0, " ",N35)</f>
        <v xml:space="preserve"> </v>
      </c>
      <c r="H18" s="75"/>
      <c r="I18" s="106"/>
      <c r="J18" s="64" t="s">
        <v>101</v>
      </c>
      <c r="K18" s="71">
        <f t="shared" si="1"/>
        <v>0</v>
      </c>
      <c r="L18" s="72">
        <f>$K$18</f>
        <v>0</v>
      </c>
      <c r="M18" s="72">
        <f>$K$18</f>
        <v>0</v>
      </c>
      <c r="N18" s="72">
        <f>IF( $K$18 = 0, Delta, $K$18*(1+Delta))</f>
        <v>9.9999999999999995E-8</v>
      </c>
      <c r="O18" s="72">
        <f t="shared" ref="O18:Z18" si="5">$K$18</f>
        <v>0</v>
      </c>
      <c r="P18" s="72">
        <f t="shared" si="5"/>
        <v>0</v>
      </c>
      <c r="Q18" s="72">
        <f t="shared" si="5"/>
        <v>0</v>
      </c>
      <c r="R18" s="72">
        <f t="shared" si="5"/>
        <v>0</v>
      </c>
      <c r="S18" s="72">
        <f t="shared" si="5"/>
        <v>0</v>
      </c>
      <c r="T18" s="72">
        <f t="shared" si="5"/>
        <v>0</v>
      </c>
      <c r="U18" s="72">
        <f t="shared" si="5"/>
        <v>0</v>
      </c>
      <c r="V18" s="72">
        <f t="shared" si="5"/>
        <v>0</v>
      </c>
      <c r="W18" s="72">
        <f t="shared" si="5"/>
        <v>0</v>
      </c>
      <c r="X18" s="72">
        <f t="shared" si="5"/>
        <v>0</v>
      </c>
      <c r="Y18" s="72">
        <f t="shared" si="5"/>
        <v>0</v>
      </c>
      <c r="Z18" s="72">
        <f t="shared" si="5"/>
        <v>0</v>
      </c>
      <c r="AD18" s="80" t="str">
        <f t="shared" si="4"/>
        <v/>
      </c>
      <c r="AE18" s="67">
        <v>3</v>
      </c>
      <c r="AF18" s="34">
        <v>0</v>
      </c>
      <c r="AG18" s="34">
        <v>0</v>
      </c>
      <c r="AH18" s="33">
        <v>1</v>
      </c>
      <c r="AI18" s="33"/>
      <c r="AJ18" s="33"/>
      <c r="AK18" s="33"/>
      <c r="AL18" s="33"/>
      <c r="AM18" s="33"/>
      <c r="AN18" s="33"/>
      <c r="AO18" s="33"/>
      <c r="AP18" s="33"/>
      <c r="AQ18" s="33"/>
      <c r="AR18" s="33"/>
      <c r="AS18" s="33"/>
      <c r="AT18" s="33"/>
    </row>
    <row r="19" spans="2:51" ht="12.75" customHeight="1" x14ac:dyDescent="0.2">
      <c r="B19" s="67">
        <v>4</v>
      </c>
      <c r="C19" s="80"/>
      <c r="D19" s="176"/>
      <c r="E19" s="72"/>
      <c r="F19" s="177"/>
      <c r="G19" s="178" t="str">
        <f>IF(O35 = 0, " ",O35)</f>
        <v xml:space="preserve"> </v>
      </c>
      <c r="H19" s="75"/>
      <c r="I19" s="106"/>
      <c r="J19" s="64" t="s">
        <v>102</v>
      </c>
      <c r="K19" s="71">
        <f t="shared" si="1"/>
        <v>0</v>
      </c>
      <c r="L19" s="72">
        <f>$K$19</f>
        <v>0</v>
      </c>
      <c r="M19" s="72">
        <f>$K$19</f>
        <v>0</v>
      </c>
      <c r="N19" s="72">
        <f>$K$19</f>
        <v>0</v>
      </c>
      <c r="O19" s="72">
        <f>IF( $K$19 = 0, Delta, $K$19*(1+Delta))</f>
        <v>9.9999999999999995E-8</v>
      </c>
      <c r="P19" s="72">
        <f t="shared" ref="P19:Z19" si="6">$K$19</f>
        <v>0</v>
      </c>
      <c r="Q19" s="72">
        <f t="shared" si="6"/>
        <v>0</v>
      </c>
      <c r="R19" s="72">
        <f t="shared" si="6"/>
        <v>0</v>
      </c>
      <c r="S19" s="72">
        <f t="shared" si="6"/>
        <v>0</v>
      </c>
      <c r="T19" s="72">
        <f t="shared" si="6"/>
        <v>0</v>
      </c>
      <c r="U19" s="72">
        <f t="shared" si="6"/>
        <v>0</v>
      </c>
      <c r="V19" s="72">
        <f t="shared" si="6"/>
        <v>0</v>
      </c>
      <c r="W19" s="72">
        <f t="shared" si="6"/>
        <v>0</v>
      </c>
      <c r="X19" s="72">
        <f t="shared" si="6"/>
        <v>0</v>
      </c>
      <c r="Y19" s="72">
        <f t="shared" si="6"/>
        <v>0</v>
      </c>
      <c r="Z19" s="72">
        <f t="shared" si="6"/>
        <v>0</v>
      </c>
      <c r="AD19" s="80" t="str">
        <f t="shared" si="4"/>
        <v/>
      </c>
      <c r="AE19" s="67">
        <v>4</v>
      </c>
      <c r="AF19" s="34">
        <v>0</v>
      </c>
      <c r="AG19" s="34">
        <v>0</v>
      </c>
      <c r="AH19" s="34">
        <v>0</v>
      </c>
      <c r="AI19" s="33">
        <v>1</v>
      </c>
      <c r="AJ19" s="33"/>
      <c r="AK19" s="33"/>
      <c r="AL19" s="33"/>
      <c r="AM19" s="33"/>
      <c r="AN19" s="33"/>
      <c r="AO19" s="33"/>
      <c r="AP19" s="33"/>
      <c r="AQ19" s="33"/>
      <c r="AR19" s="33"/>
      <c r="AS19" s="33"/>
      <c r="AT19" s="33"/>
    </row>
    <row r="20" spans="2:51" x14ac:dyDescent="0.2">
      <c r="B20" s="67">
        <v>5</v>
      </c>
      <c r="C20" s="80"/>
      <c r="D20" s="176"/>
      <c r="E20" s="72"/>
      <c r="F20" s="177"/>
      <c r="G20" s="178" t="str">
        <f>IF(P35 = 0, " ",P35)</f>
        <v xml:space="preserve"> </v>
      </c>
      <c r="H20" s="75"/>
      <c r="I20" s="106"/>
      <c r="J20" s="64" t="s">
        <v>43</v>
      </c>
      <c r="K20" s="71">
        <f t="shared" si="1"/>
        <v>0</v>
      </c>
      <c r="L20" s="72">
        <f>$K$20</f>
        <v>0</v>
      </c>
      <c r="M20" s="72">
        <f>$K$20</f>
        <v>0</v>
      </c>
      <c r="N20" s="72">
        <f>$K$20</f>
        <v>0</v>
      </c>
      <c r="O20" s="72">
        <f>$K$20</f>
        <v>0</v>
      </c>
      <c r="P20" s="72">
        <f>IF( $K$20 = 0, Delta, $K$20*(1+Delta))</f>
        <v>9.9999999999999995E-8</v>
      </c>
      <c r="Q20" s="72">
        <f t="shared" ref="Q20:Z20" si="7">$K$20</f>
        <v>0</v>
      </c>
      <c r="R20" s="72">
        <f t="shared" si="7"/>
        <v>0</v>
      </c>
      <c r="S20" s="72">
        <f t="shared" si="7"/>
        <v>0</v>
      </c>
      <c r="T20" s="72">
        <f t="shared" si="7"/>
        <v>0</v>
      </c>
      <c r="U20" s="72">
        <f t="shared" si="7"/>
        <v>0</v>
      </c>
      <c r="V20" s="72">
        <f t="shared" si="7"/>
        <v>0</v>
      </c>
      <c r="W20" s="72">
        <f t="shared" si="7"/>
        <v>0</v>
      </c>
      <c r="X20" s="72">
        <f t="shared" si="7"/>
        <v>0</v>
      </c>
      <c r="Y20" s="72">
        <f t="shared" si="7"/>
        <v>0</v>
      </c>
      <c r="Z20" s="72">
        <f t="shared" si="7"/>
        <v>0</v>
      </c>
      <c r="AD20" s="80" t="str">
        <f t="shared" si="4"/>
        <v/>
      </c>
      <c r="AE20" s="67">
        <v>5</v>
      </c>
      <c r="AF20" s="34">
        <v>0</v>
      </c>
      <c r="AG20" s="34">
        <v>0</v>
      </c>
      <c r="AH20" s="34">
        <v>0</v>
      </c>
      <c r="AI20" s="34">
        <v>0</v>
      </c>
      <c r="AJ20" s="33">
        <v>1</v>
      </c>
      <c r="AK20" s="33"/>
      <c r="AL20" s="33"/>
      <c r="AM20" s="33"/>
      <c r="AN20" s="33"/>
      <c r="AO20" s="33"/>
      <c r="AP20" s="33"/>
      <c r="AQ20" s="33"/>
      <c r="AR20" s="33"/>
      <c r="AS20" s="33"/>
      <c r="AT20" s="33"/>
    </row>
    <row r="21" spans="2:51" x14ac:dyDescent="0.2">
      <c r="B21" s="67">
        <v>6</v>
      </c>
      <c r="C21" s="80"/>
      <c r="D21" s="176"/>
      <c r="E21" s="72"/>
      <c r="F21" s="177"/>
      <c r="G21" s="178" t="str">
        <f>IF(Q35 = 0, " ",Q35)</f>
        <v xml:space="preserve"> </v>
      </c>
      <c r="H21" s="75"/>
      <c r="I21" s="106"/>
      <c r="J21" s="64" t="s">
        <v>103</v>
      </c>
      <c r="K21" s="71">
        <f t="shared" si="1"/>
        <v>0</v>
      </c>
      <c r="L21" s="72">
        <f>$K$21</f>
        <v>0</v>
      </c>
      <c r="M21" s="72">
        <f>$K$21</f>
        <v>0</v>
      </c>
      <c r="N21" s="72">
        <f>$K$21</f>
        <v>0</v>
      </c>
      <c r="O21" s="72">
        <f>$K$21</f>
        <v>0</v>
      </c>
      <c r="P21" s="72">
        <f>$K$21</f>
        <v>0</v>
      </c>
      <c r="Q21" s="72">
        <f>IF( $K$21 = 0, Delta, $K$21*(1+Delta))</f>
        <v>9.9999999999999995E-8</v>
      </c>
      <c r="R21" s="72">
        <f t="shared" ref="R21:Z21" si="8">$K$21</f>
        <v>0</v>
      </c>
      <c r="S21" s="72">
        <f t="shared" si="8"/>
        <v>0</v>
      </c>
      <c r="T21" s="72">
        <f t="shared" si="8"/>
        <v>0</v>
      </c>
      <c r="U21" s="72">
        <f t="shared" si="8"/>
        <v>0</v>
      </c>
      <c r="V21" s="72">
        <f t="shared" si="8"/>
        <v>0</v>
      </c>
      <c r="W21" s="72">
        <f t="shared" si="8"/>
        <v>0</v>
      </c>
      <c r="X21" s="72">
        <f t="shared" si="8"/>
        <v>0</v>
      </c>
      <c r="Y21" s="72">
        <f t="shared" si="8"/>
        <v>0</v>
      </c>
      <c r="Z21" s="72">
        <f t="shared" si="8"/>
        <v>0</v>
      </c>
      <c r="AD21" s="80" t="str">
        <f t="shared" si="4"/>
        <v/>
      </c>
      <c r="AE21" s="67">
        <v>6</v>
      </c>
      <c r="AF21" s="34">
        <v>0</v>
      </c>
      <c r="AG21" s="34">
        <v>0</v>
      </c>
      <c r="AH21" s="34">
        <v>0</v>
      </c>
      <c r="AI21" s="34">
        <v>0</v>
      </c>
      <c r="AJ21" s="34">
        <v>0</v>
      </c>
      <c r="AK21" s="33">
        <v>1</v>
      </c>
      <c r="AL21" s="33"/>
      <c r="AM21" s="33"/>
      <c r="AN21" s="33"/>
      <c r="AO21" s="33"/>
      <c r="AP21" s="33"/>
      <c r="AQ21" s="33"/>
      <c r="AR21" s="33"/>
      <c r="AS21" s="33"/>
      <c r="AT21" s="33"/>
    </row>
    <row r="22" spans="2:51" x14ac:dyDescent="0.2">
      <c r="B22" s="67">
        <v>7</v>
      </c>
      <c r="C22" s="80"/>
      <c r="D22" s="176"/>
      <c r="E22" s="72"/>
      <c r="F22" s="177"/>
      <c r="G22" s="178" t="str">
        <f>IF(R35 = 0, " ",R35)</f>
        <v xml:space="preserve"> </v>
      </c>
      <c r="H22" s="75"/>
      <c r="I22" s="106"/>
      <c r="J22" s="64" t="s">
        <v>104</v>
      </c>
      <c r="K22" s="71">
        <f t="shared" si="1"/>
        <v>0</v>
      </c>
      <c r="L22" s="72">
        <f t="shared" ref="L22:Q22" si="9">$K$22</f>
        <v>0</v>
      </c>
      <c r="M22" s="72">
        <f t="shared" si="9"/>
        <v>0</v>
      </c>
      <c r="N22" s="72">
        <f t="shared" si="9"/>
        <v>0</v>
      </c>
      <c r="O22" s="72">
        <f t="shared" si="9"/>
        <v>0</v>
      </c>
      <c r="P22" s="72">
        <f t="shared" si="9"/>
        <v>0</v>
      </c>
      <c r="Q22" s="72">
        <f t="shared" si="9"/>
        <v>0</v>
      </c>
      <c r="R22" s="72">
        <f>IF( $K$22 = 0, Delta, $K$22*(1+Delta))</f>
        <v>9.9999999999999995E-8</v>
      </c>
      <c r="S22" s="72">
        <f t="shared" ref="S22:Z22" si="10">$K$22</f>
        <v>0</v>
      </c>
      <c r="T22" s="72">
        <f t="shared" si="10"/>
        <v>0</v>
      </c>
      <c r="U22" s="72">
        <f t="shared" si="10"/>
        <v>0</v>
      </c>
      <c r="V22" s="72">
        <f t="shared" si="10"/>
        <v>0</v>
      </c>
      <c r="W22" s="72">
        <f t="shared" si="10"/>
        <v>0</v>
      </c>
      <c r="X22" s="72">
        <f t="shared" si="10"/>
        <v>0</v>
      </c>
      <c r="Y22" s="72">
        <f t="shared" si="10"/>
        <v>0</v>
      </c>
      <c r="Z22" s="72">
        <f t="shared" si="10"/>
        <v>0</v>
      </c>
      <c r="AD22" s="80" t="str">
        <f t="shared" si="4"/>
        <v/>
      </c>
      <c r="AE22" s="67">
        <v>7</v>
      </c>
      <c r="AF22" s="34">
        <v>0</v>
      </c>
      <c r="AG22" s="34">
        <v>0</v>
      </c>
      <c r="AH22" s="34">
        <v>0</v>
      </c>
      <c r="AI22" s="34">
        <v>0</v>
      </c>
      <c r="AJ22" s="34">
        <v>0</v>
      </c>
      <c r="AK22" s="34">
        <v>0</v>
      </c>
      <c r="AL22" s="33">
        <v>1</v>
      </c>
      <c r="AM22" s="33"/>
      <c r="AN22" s="33"/>
      <c r="AO22" s="33"/>
      <c r="AP22" s="33"/>
      <c r="AQ22" s="33"/>
      <c r="AR22" s="33"/>
      <c r="AS22" s="33"/>
      <c r="AT22" s="33"/>
    </row>
    <row r="23" spans="2:51" x14ac:dyDescent="0.2">
      <c r="B23" s="67">
        <v>8</v>
      </c>
      <c r="C23" s="80"/>
      <c r="D23" s="176"/>
      <c r="E23" s="72"/>
      <c r="F23" s="177"/>
      <c r="G23" s="178" t="str">
        <f>IF(S35 = 0, " ",S35)</f>
        <v xml:space="preserve"> </v>
      </c>
      <c r="H23" s="75"/>
      <c r="I23" s="106"/>
      <c r="J23" s="64" t="s">
        <v>105</v>
      </c>
      <c r="K23" s="71">
        <f t="shared" si="1"/>
        <v>0</v>
      </c>
      <c r="L23" s="72">
        <f t="shared" ref="L23:R23" si="11">$K$23</f>
        <v>0</v>
      </c>
      <c r="M23" s="72">
        <f t="shared" si="11"/>
        <v>0</v>
      </c>
      <c r="N23" s="72">
        <f t="shared" si="11"/>
        <v>0</v>
      </c>
      <c r="O23" s="72">
        <f t="shared" si="11"/>
        <v>0</v>
      </c>
      <c r="P23" s="72">
        <f t="shared" si="11"/>
        <v>0</v>
      </c>
      <c r="Q23" s="72">
        <f t="shared" si="11"/>
        <v>0</v>
      </c>
      <c r="R23" s="72">
        <f t="shared" si="11"/>
        <v>0</v>
      </c>
      <c r="S23" s="72">
        <f>IF( $K$23 = 0, Delta, $K$23*(1+Delta))</f>
        <v>9.9999999999999995E-8</v>
      </c>
      <c r="T23" s="72">
        <f t="shared" ref="T23:Z23" si="12">$K$23</f>
        <v>0</v>
      </c>
      <c r="U23" s="72">
        <f t="shared" si="12"/>
        <v>0</v>
      </c>
      <c r="V23" s="72">
        <f t="shared" si="12"/>
        <v>0</v>
      </c>
      <c r="W23" s="72">
        <f t="shared" si="12"/>
        <v>0</v>
      </c>
      <c r="X23" s="72">
        <f t="shared" si="12"/>
        <v>0</v>
      </c>
      <c r="Y23" s="72">
        <f t="shared" si="12"/>
        <v>0</v>
      </c>
      <c r="Z23" s="72">
        <f t="shared" si="12"/>
        <v>0</v>
      </c>
      <c r="AD23" s="80" t="str">
        <f t="shared" si="4"/>
        <v/>
      </c>
      <c r="AE23" s="67">
        <v>8</v>
      </c>
      <c r="AF23" s="34">
        <v>0</v>
      </c>
      <c r="AG23" s="34">
        <v>0</v>
      </c>
      <c r="AH23" s="34">
        <v>0</v>
      </c>
      <c r="AI23" s="34">
        <v>0</v>
      </c>
      <c r="AJ23" s="34">
        <v>0</v>
      </c>
      <c r="AK23" s="34">
        <v>0</v>
      </c>
      <c r="AL23" s="34">
        <v>0</v>
      </c>
      <c r="AM23" s="33">
        <v>1</v>
      </c>
      <c r="AN23" s="33"/>
      <c r="AO23" s="33"/>
      <c r="AP23" s="33"/>
      <c r="AQ23" s="33"/>
      <c r="AR23" s="33"/>
      <c r="AS23" s="33"/>
      <c r="AT23" s="33"/>
    </row>
    <row r="24" spans="2:51" x14ac:dyDescent="0.2">
      <c r="B24" s="67">
        <v>9</v>
      </c>
      <c r="C24" s="80"/>
      <c r="D24" s="176"/>
      <c r="E24" s="72"/>
      <c r="F24" s="177"/>
      <c r="G24" s="178" t="str">
        <f>IF(T35 = 0, " ",T35)</f>
        <v xml:space="preserve"> </v>
      </c>
      <c r="H24" s="75"/>
      <c r="I24" s="106"/>
      <c r="J24" s="64" t="s">
        <v>106</v>
      </c>
      <c r="K24" s="71">
        <f t="shared" si="1"/>
        <v>0</v>
      </c>
      <c r="L24" s="72">
        <f t="shared" ref="L24:S24" si="13">$K$24</f>
        <v>0</v>
      </c>
      <c r="M24" s="72">
        <f t="shared" si="13"/>
        <v>0</v>
      </c>
      <c r="N24" s="72">
        <f t="shared" si="13"/>
        <v>0</v>
      </c>
      <c r="O24" s="72">
        <f t="shared" si="13"/>
        <v>0</v>
      </c>
      <c r="P24" s="72">
        <f t="shared" si="13"/>
        <v>0</v>
      </c>
      <c r="Q24" s="72">
        <f t="shared" si="13"/>
        <v>0</v>
      </c>
      <c r="R24" s="72">
        <f t="shared" si="13"/>
        <v>0</v>
      </c>
      <c r="S24" s="72">
        <f t="shared" si="13"/>
        <v>0</v>
      </c>
      <c r="T24" s="72">
        <f>IF( $K$24 = 0, Delta, $K$24*(1+Delta))</f>
        <v>9.9999999999999995E-8</v>
      </c>
      <c r="U24" s="72">
        <f t="shared" ref="U24:Z24" si="14">$K$24</f>
        <v>0</v>
      </c>
      <c r="V24" s="72">
        <f t="shared" si="14"/>
        <v>0</v>
      </c>
      <c r="W24" s="72">
        <f t="shared" si="14"/>
        <v>0</v>
      </c>
      <c r="X24" s="72">
        <f t="shared" si="14"/>
        <v>0</v>
      </c>
      <c r="Y24" s="72">
        <f t="shared" si="14"/>
        <v>0</v>
      </c>
      <c r="Z24" s="72">
        <f t="shared" si="14"/>
        <v>0</v>
      </c>
      <c r="AD24" s="80" t="str">
        <f t="shared" si="4"/>
        <v/>
      </c>
      <c r="AE24" s="67">
        <v>9</v>
      </c>
      <c r="AF24" s="34">
        <v>0</v>
      </c>
      <c r="AG24" s="34">
        <v>0</v>
      </c>
      <c r="AH24" s="34">
        <v>0</v>
      </c>
      <c r="AI24" s="34">
        <v>0</v>
      </c>
      <c r="AJ24" s="34">
        <v>0</v>
      </c>
      <c r="AK24" s="34">
        <v>0</v>
      </c>
      <c r="AL24" s="34">
        <v>0</v>
      </c>
      <c r="AM24" s="34">
        <v>0</v>
      </c>
      <c r="AN24" s="33">
        <v>1</v>
      </c>
      <c r="AO24" s="33"/>
      <c r="AP24" s="33"/>
      <c r="AQ24" s="33"/>
      <c r="AR24" s="33"/>
      <c r="AS24" s="33"/>
      <c r="AT24" s="33"/>
    </row>
    <row r="25" spans="2:51" x14ac:dyDescent="0.2">
      <c r="B25" s="67">
        <v>10</v>
      </c>
      <c r="C25" s="80"/>
      <c r="D25" s="176"/>
      <c r="E25" s="72"/>
      <c r="F25" s="177"/>
      <c r="G25" s="178" t="str">
        <f>IF(U35 = 0, " ",U35)</f>
        <v xml:space="preserve"> </v>
      </c>
      <c r="H25" s="75"/>
      <c r="I25" s="106"/>
      <c r="J25" s="64" t="s">
        <v>107</v>
      </c>
      <c r="K25" s="71">
        <f t="shared" si="1"/>
        <v>0</v>
      </c>
      <c r="L25" s="72">
        <f t="shared" ref="L25:Z30" si="15">$K25</f>
        <v>0</v>
      </c>
      <c r="M25" s="72">
        <f t="shared" si="15"/>
        <v>0</v>
      </c>
      <c r="N25" s="72">
        <f t="shared" si="15"/>
        <v>0</v>
      </c>
      <c r="O25" s="72">
        <f t="shared" si="15"/>
        <v>0</v>
      </c>
      <c r="P25" s="72">
        <f t="shared" si="15"/>
        <v>0</v>
      </c>
      <c r="Q25" s="72">
        <f t="shared" si="15"/>
        <v>0</v>
      </c>
      <c r="R25" s="72">
        <f t="shared" si="15"/>
        <v>0</v>
      </c>
      <c r="S25" s="72">
        <f t="shared" si="15"/>
        <v>0</v>
      </c>
      <c r="T25" s="72">
        <f t="shared" si="15"/>
        <v>0</v>
      </c>
      <c r="U25" s="72">
        <f>IF( $K25 = 0, Delta, $K25*(1+Delta))</f>
        <v>9.9999999999999995E-8</v>
      </c>
      <c r="V25" s="72">
        <f>$K25</f>
        <v>0</v>
      </c>
      <c r="W25" s="72">
        <f>$K25</f>
        <v>0</v>
      </c>
      <c r="X25" s="72">
        <f>$K25</f>
        <v>0</v>
      </c>
      <c r="Y25" s="72">
        <f>$K25</f>
        <v>0</v>
      </c>
      <c r="Z25" s="72">
        <f>$K25</f>
        <v>0</v>
      </c>
      <c r="AD25" s="80" t="str">
        <f t="shared" si="4"/>
        <v/>
      </c>
      <c r="AE25" s="67">
        <v>10</v>
      </c>
      <c r="AF25" s="34">
        <v>0</v>
      </c>
      <c r="AG25" s="34">
        <v>0</v>
      </c>
      <c r="AH25" s="34">
        <v>0</v>
      </c>
      <c r="AI25" s="34">
        <v>0</v>
      </c>
      <c r="AJ25" s="34">
        <v>0</v>
      </c>
      <c r="AK25" s="34">
        <v>0</v>
      </c>
      <c r="AL25" s="34">
        <v>0</v>
      </c>
      <c r="AM25" s="34">
        <v>0</v>
      </c>
      <c r="AN25" s="34">
        <v>0</v>
      </c>
      <c r="AO25" s="33">
        <v>1</v>
      </c>
      <c r="AP25" s="33"/>
      <c r="AQ25" s="33"/>
      <c r="AR25" s="33"/>
      <c r="AS25" s="33"/>
      <c r="AT25" s="33"/>
    </row>
    <row r="26" spans="2:51" x14ac:dyDescent="0.2">
      <c r="B26" s="67">
        <v>11</v>
      </c>
      <c r="C26" s="80"/>
      <c r="D26" s="176"/>
      <c r="E26" s="72"/>
      <c r="F26" s="177"/>
      <c r="G26" s="178"/>
      <c r="H26" s="75"/>
      <c r="I26" s="106"/>
      <c r="J26" s="64" t="s">
        <v>162</v>
      </c>
      <c r="K26" s="71">
        <f t="shared" si="1"/>
        <v>0</v>
      </c>
      <c r="L26" s="72">
        <f t="shared" si="15"/>
        <v>0</v>
      </c>
      <c r="M26" s="72">
        <f t="shared" si="15"/>
        <v>0</v>
      </c>
      <c r="N26" s="72">
        <f t="shared" si="15"/>
        <v>0</v>
      </c>
      <c r="O26" s="72">
        <f t="shared" si="15"/>
        <v>0</v>
      </c>
      <c r="P26" s="72">
        <f t="shared" si="15"/>
        <v>0</v>
      </c>
      <c r="Q26" s="72">
        <f t="shared" si="15"/>
        <v>0</v>
      </c>
      <c r="R26" s="72">
        <f t="shared" si="15"/>
        <v>0</v>
      </c>
      <c r="S26" s="72">
        <f t="shared" si="15"/>
        <v>0</v>
      </c>
      <c r="T26" s="72">
        <f t="shared" si="15"/>
        <v>0</v>
      </c>
      <c r="U26" s="72">
        <f t="shared" si="15"/>
        <v>0</v>
      </c>
      <c r="V26" s="72">
        <f>IF( $K26 = 0, Delta, $K26*(1+Delta))</f>
        <v>9.9999999999999995E-8</v>
      </c>
      <c r="W26" s="72">
        <f t="shared" si="15"/>
        <v>0</v>
      </c>
      <c r="X26" s="72">
        <f t="shared" si="15"/>
        <v>0</v>
      </c>
      <c r="Y26" s="72">
        <f t="shared" si="15"/>
        <v>0</v>
      </c>
      <c r="Z26" s="72">
        <f t="shared" si="15"/>
        <v>0</v>
      </c>
      <c r="AD26" s="80" t="str">
        <f t="shared" si="4"/>
        <v/>
      </c>
      <c r="AE26" s="86">
        <v>11</v>
      </c>
      <c r="AF26" s="34">
        <v>0</v>
      </c>
      <c r="AG26" s="34">
        <v>0</v>
      </c>
      <c r="AH26" s="34">
        <v>0</v>
      </c>
      <c r="AI26" s="34">
        <v>0</v>
      </c>
      <c r="AJ26" s="34">
        <v>0</v>
      </c>
      <c r="AK26" s="34">
        <v>0</v>
      </c>
      <c r="AL26" s="34">
        <v>0</v>
      </c>
      <c r="AM26" s="34">
        <v>0</v>
      </c>
      <c r="AN26" s="34">
        <v>0</v>
      </c>
      <c r="AO26" s="88">
        <v>0</v>
      </c>
      <c r="AP26" s="33">
        <v>1</v>
      </c>
      <c r="AQ26" s="88"/>
      <c r="AR26" s="88"/>
      <c r="AS26" s="88"/>
      <c r="AT26" s="88"/>
    </row>
    <row r="27" spans="2:51" x14ac:dyDescent="0.2">
      <c r="B27" s="67">
        <v>12</v>
      </c>
      <c r="C27" s="80"/>
      <c r="D27" s="176"/>
      <c r="E27" s="72"/>
      <c r="F27" s="177"/>
      <c r="G27" s="178"/>
      <c r="H27" s="75"/>
      <c r="I27" s="106"/>
      <c r="J27" s="64" t="s">
        <v>163</v>
      </c>
      <c r="K27" s="71">
        <f t="shared" si="1"/>
        <v>0</v>
      </c>
      <c r="L27" s="72">
        <f t="shared" si="15"/>
        <v>0</v>
      </c>
      <c r="M27" s="72">
        <f t="shared" si="15"/>
        <v>0</v>
      </c>
      <c r="N27" s="72">
        <f t="shared" si="15"/>
        <v>0</v>
      </c>
      <c r="O27" s="72">
        <f t="shared" si="15"/>
        <v>0</v>
      </c>
      <c r="P27" s="72">
        <f t="shared" si="15"/>
        <v>0</v>
      </c>
      <c r="Q27" s="72">
        <f t="shared" si="15"/>
        <v>0</v>
      </c>
      <c r="R27" s="72">
        <f t="shared" si="15"/>
        <v>0</v>
      </c>
      <c r="S27" s="72">
        <f t="shared" si="15"/>
        <v>0</v>
      </c>
      <c r="T27" s="72">
        <f t="shared" si="15"/>
        <v>0</v>
      </c>
      <c r="U27" s="72">
        <f t="shared" si="15"/>
        <v>0</v>
      </c>
      <c r="V27" s="72">
        <f t="shared" si="15"/>
        <v>0</v>
      </c>
      <c r="W27" s="72">
        <f>IF( $K27 = 0, Delta, $K27*(1+Delta))</f>
        <v>9.9999999999999995E-8</v>
      </c>
      <c r="X27" s="72">
        <f t="shared" si="15"/>
        <v>0</v>
      </c>
      <c r="Y27" s="72">
        <f t="shared" si="15"/>
        <v>0</v>
      </c>
      <c r="Z27" s="72">
        <f t="shared" si="15"/>
        <v>0</v>
      </c>
      <c r="AD27" s="80" t="str">
        <f t="shared" si="4"/>
        <v/>
      </c>
      <c r="AE27" s="86">
        <v>12</v>
      </c>
      <c r="AF27" s="34">
        <v>0</v>
      </c>
      <c r="AG27" s="34">
        <v>0</v>
      </c>
      <c r="AH27" s="34">
        <v>0</v>
      </c>
      <c r="AI27" s="34">
        <v>0</v>
      </c>
      <c r="AJ27" s="34">
        <v>0</v>
      </c>
      <c r="AK27" s="34">
        <v>0</v>
      </c>
      <c r="AL27" s="34">
        <v>0</v>
      </c>
      <c r="AM27" s="34">
        <v>0</v>
      </c>
      <c r="AN27" s="34">
        <v>0</v>
      </c>
      <c r="AO27" s="88">
        <v>0</v>
      </c>
      <c r="AP27" s="88">
        <v>0</v>
      </c>
      <c r="AQ27" s="33">
        <v>1</v>
      </c>
      <c r="AR27" s="88"/>
      <c r="AS27" s="88"/>
      <c r="AT27" s="88"/>
    </row>
    <row r="28" spans="2:51" x14ac:dyDescent="0.2">
      <c r="B28" s="67">
        <v>13</v>
      </c>
      <c r="C28" s="80"/>
      <c r="D28" s="176"/>
      <c r="E28" s="72"/>
      <c r="F28" s="177"/>
      <c r="G28" s="178"/>
      <c r="H28" s="75"/>
      <c r="I28" s="106"/>
      <c r="J28" s="64" t="s">
        <v>164</v>
      </c>
      <c r="K28" s="71">
        <f t="shared" si="1"/>
        <v>0</v>
      </c>
      <c r="L28" s="72">
        <f t="shared" si="15"/>
        <v>0</v>
      </c>
      <c r="M28" s="72">
        <f t="shared" si="15"/>
        <v>0</v>
      </c>
      <c r="N28" s="72">
        <f t="shared" si="15"/>
        <v>0</v>
      </c>
      <c r="O28" s="72">
        <f t="shared" si="15"/>
        <v>0</v>
      </c>
      <c r="P28" s="72">
        <f t="shared" si="15"/>
        <v>0</v>
      </c>
      <c r="Q28" s="72">
        <f t="shared" si="15"/>
        <v>0</v>
      </c>
      <c r="R28" s="72">
        <f t="shared" si="15"/>
        <v>0</v>
      </c>
      <c r="S28" s="72">
        <f t="shared" si="15"/>
        <v>0</v>
      </c>
      <c r="T28" s="72">
        <f t="shared" si="15"/>
        <v>0</v>
      </c>
      <c r="U28" s="72">
        <f t="shared" si="15"/>
        <v>0</v>
      </c>
      <c r="V28" s="72">
        <f t="shared" si="15"/>
        <v>0</v>
      </c>
      <c r="W28" s="72">
        <f t="shared" si="15"/>
        <v>0</v>
      </c>
      <c r="X28" s="72">
        <f>IF( $K28 = 0, Delta, $K28*(1+Delta))</f>
        <v>9.9999999999999995E-8</v>
      </c>
      <c r="Y28" s="72">
        <f t="shared" si="15"/>
        <v>0</v>
      </c>
      <c r="Z28" s="72">
        <f t="shared" si="15"/>
        <v>0</v>
      </c>
      <c r="AD28" s="80" t="str">
        <f t="shared" si="4"/>
        <v/>
      </c>
      <c r="AE28" s="86">
        <v>13</v>
      </c>
      <c r="AF28" s="34">
        <v>0</v>
      </c>
      <c r="AG28" s="34">
        <v>0</v>
      </c>
      <c r="AH28" s="34">
        <v>0</v>
      </c>
      <c r="AI28" s="34">
        <v>0</v>
      </c>
      <c r="AJ28" s="34">
        <v>0</v>
      </c>
      <c r="AK28" s="34">
        <v>0</v>
      </c>
      <c r="AL28" s="34">
        <v>0</v>
      </c>
      <c r="AM28" s="34">
        <v>0</v>
      </c>
      <c r="AN28" s="34">
        <v>0</v>
      </c>
      <c r="AO28" s="88">
        <v>0</v>
      </c>
      <c r="AP28" s="88">
        <v>0</v>
      </c>
      <c r="AQ28" s="88">
        <v>0</v>
      </c>
      <c r="AR28" s="33">
        <v>1</v>
      </c>
      <c r="AS28" s="88"/>
      <c r="AT28" s="88"/>
    </row>
    <row r="29" spans="2:51" x14ac:dyDescent="0.2">
      <c r="B29" s="67">
        <v>14</v>
      </c>
      <c r="C29" s="80"/>
      <c r="D29" s="176"/>
      <c r="E29" s="72"/>
      <c r="F29" s="177"/>
      <c r="G29" s="178"/>
      <c r="H29" s="75"/>
      <c r="I29" s="106"/>
      <c r="J29" s="64" t="s">
        <v>165</v>
      </c>
      <c r="K29" s="71">
        <f t="shared" si="1"/>
        <v>0</v>
      </c>
      <c r="L29" s="72">
        <f t="shared" si="15"/>
        <v>0</v>
      </c>
      <c r="M29" s="72">
        <f t="shared" si="15"/>
        <v>0</v>
      </c>
      <c r="N29" s="72">
        <f t="shared" si="15"/>
        <v>0</v>
      </c>
      <c r="O29" s="72">
        <f t="shared" si="15"/>
        <v>0</v>
      </c>
      <c r="P29" s="72">
        <f t="shared" si="15"/>
        <v>0</v>
      </c>
      <c r="Q29" s="72">
        <f t="shared" si="15"/>
        <v>0</v>
      </c>
      <c r="R29" s="72">
        <f t="shared" si="15"/>
        <v>0</v>
      </c>
      <c r="S29" s="72">
        <f t="shared" si="15"/>
        <v>0</v>
      </c>
      <c r="T29" s="72">
        <f t="shared" si="15"/>
        <v>0</v>
      </c>
      <c r="U29" s="72">
        <f t="shared" si="15"/>
        <v>0</v>
      </c>
      <c r="V29" s="72">
        <f t="shared" si="15"/>
        <v>0</v>
      </c>
      <c r="W29" s="72">
        <f t="shared" si="15"/>
        <v>0</v>
      </c>
      <c r="X29" s="72">
        <f t="shared" si="15"/>
        <v>0</v>
      </c>
      <c r="Y29" s="72">
        <f>IF( $K29 = 0, Delta, $K29*(1+Delta))</f>
        <v>9.9999999999999995E-8</v>
      </c>
      <c r="Z29" s="72">
        <f t="shared" si="15"/>
        <v>0</v>
      </c>
      <c r="AD29" s="80" t="str">
        <f t="shared" si="4"/>
        <v/>
      </c>
      <c r="AE29" s="86">
        <v>14</v>
      </c>
      <c r="AF29" s="34">
        <v>0</v>
      </c>
      <c r="AG29" s="34">
        <v>0</v>
      </c>
      <c r="AH29" s="34">
        <v>0</v>
      </c>
      <c r="AI29" s="34">
        <v>0</v>
      </c>
      <c r="AJ29" s="34">
        <v>0</v>
      </c>
      <c r="AK29" s="34">
        <v>0</v>
      </c>
      <c r="AL29" s="34">
        <v>0</v>
      </c>
      <c r="AM29" s="34">
        <v>0</v>
      </c>
      <c r="AN29" s="34">
        <v>0</v>
      </c>
      <c r="AO29" s="88">
        <v>0</v>
      </c>
      <c r="AP29" s="88">
        <v>0</v>
      </c>
      <c r="AQ29" s="88">
        <v>0</v>
      </c>
      <c r="AR29" s="88">
        <v>0</v>
      </c>
      <c r="AS29" s="33">
        <v>1</v>
      </c>
      <c r="AT29" s="88"/>
    </row>
    <row r="30" spans="2:51" x14ac:dyDescent="0.2">
      <c r="B30" s="67">
        <v>15</v>
      </c>
      <c r="C30" s="80"/>
      <c r="D30" s="176"/>
      <c r="E30" s="72"/>
      <c r="F30" s="177"/>
      <c r="G30" s="178"/>
      <c r="H30" s="75"/>
      <c r="I30" s="106"/>
      <c r="J30" s="64" t="s">
        <v>166</v>
      </c>
      <c r="K30" s="71">
        <f t="shared" si="1"/>
        <v>0</v>
      </c>
      <c r="L30" s="72">
        <f t="shared" si="15"/>
        <v>0</v>
      </c>
      <c r="M30" s="72">
        <f t="shared" si="15"/>
        <v>0</v>
      </c>
      <c r="N30" s="72">
        <f t="shared" si="15"/>
        <v>0</v>
      </c>
      <c r="O30" s="72">
        <f t="shared" si="15"/>
        <v>0</v>
      </c>
      <c r="P30" s="72">
        <f t="shared" si="15"/>
        <v>0</v>
      </c>
      <c r="Q30" s="72">
        <f t="shared" si="15"/>
        <v>0</v>
      </c>
      <c r="R30" s="72">
        <f t="shared" si="15"/>
        <v>0</v>
      </c>
      <c r="S30" s="72">
        <f t="shared" si="15"/>
        <v>0</v>
      </c>
      <c r="T30" s="72">
        <f t="shared" si="15"/>
        <v>0</v>
      </c>
      <c r="U30" s="72">
        <f t="shared" si="15"/>
        <v>0</v>
      </c>
      <c r="V30" s="72">
        <f t="shared" si="15"/>
        <v>0</v>
      </c>
      <c r="W30" s="72">
        <f t="shared" si="15"/>
        <v>0</v>
      </c>
      <c r="X30" s="72">
        <f t="shared" si="15"/>
        <v>0</v>
      </c>
      <c r="Y30" s="72">
        <f t="shared" si="15"/>
        <v>0</v>
      </c>
      <c r="Z30" s="72">
        <f>IF( $K30 = 0, Delta, $K30*(1+Delta))</f>
        <v>9.9999999999999995E-8</v>
      </c>
      <c r="AD30" s="80" t="str">
        <f t="shared" si="4"/>
        <v/>
      </c>
      <c r="AE30" s="86">
        <v>15</v>
      </c>
      <c r="AF30" s="34">
        <v>0</v>
      </c>
      <c r="AG30" s="34">
        <v>0</v>
      </c>
      <c r="AH30" s="34">
        <v>0</v>
      </c>
      <c r="AI30" s="34">
        <v>0</v>
      </c>
      <c r="AJ30" s="34">
        <v>0</v>
      </c>
      <c r="AK30" s="34">
        <v>0</v>
      </c>
      <c r="AL30" s="34">
        <v>0</v>
      </c>
      <c r="AM30" s="34">
        <v>0</v>
      </c>
      <c r="AN30" s="34">
        <v>0</v>
      </c>
      <c r="AO30" s="88">
        <v>0</v>
      </c>
      <c r="AP30" s="88">
        <v>0</v>
      </c>
      <c r="AQ30" s="88">
        <v>0</v>
      </c>
      <c r="AR30" s="88">
        <v>0</v>
      </c>
      <c r="AS30" s="88">
        <v>0</v>
      </c>
      <c r="AT30" s="33">
        <v>1</v>
      </c>
    </row>
    <row r="31" spans="2:51" hidden="1" x14ac:dyDescent="0.2">
      <c r="B31" s="67" t="s">
        <v>120</v>
      </c>
      <c r="C31" s="68"/>
      <c r="D31" s="69"/>
      <c r="E31" s="70"/>
      <c r="F31" s="69"/>
      <c r="G31" s="14"/>
      <c r="H31" s="9"/>
      <c r="I31" s="106"/>
      <c r="K31" s="71"/>
      <c r="L31" s="18"/>
      <c r="M31" s="72"/>
      <c r="N31" s="72"/>
      <c r="O31" s="72"/>
      <c r="P31" s="72"/>
      <c r="Q31" s="72"/>
      <c r="R31" s="72"/>
      <c r="S31" s="72"/>
      <c r="T31" s="72"/>
      <c r="U31" s="72"/>
      <c r="AE31" s="12" t="s">
        <v>141</v>
      </c>
      <c r="AF31" s="108">
        <v>0</v>
      </c>
      <c r="AG31" s="12">
        <v>0</v>
      </c>
      <c r="AH31" s="12">
        <v>0</v>
      </c>
      <c r="AI31" s="12">
        <v>0</v>
      </c>
      <c r="AJ31" s="12">
        <v>0</v>
      </c>
      <c r="AK31" s="12">
        <v>0</v>
      </c>
      <c r="AL31" s="108">
        <v>0</v>
      </c>
      <c r="AM31" s="12">
        <v>0</v>
      </c>
      <c r="AN31" s="12">
        <v>0</v>
      </c>
      <c r="AO31" s="12">
        <v>0</v>
      </c>
      <c r="AP31" s="87">
        <v>0</v>
      </c>
      <c r="AQ31" s="87">
        <v>0</v>
      </c>
      <c r="AR31" s="87">
        <v>0</v>
      </c>
      <c r="AS31" s="87">
        <v>0</v>
      </c>
      <c r="AT31" s="87">
        <v>15</v>
      </c>
      <c r="AY31" s="103" t="str">
        <f>IF( F46 &lt;&gt; "", F46*F46*G46*G46/($F$34*$F$34), "")</f>
        <v/>
      </c>
    </row>
    <row r="32" spans="2:51" ht="15.75" x14ac:dyDescent="0.2">
      <c r="B32" s="338" t="s">
        <v>115</v>
      </c>
      <c r="C32" s="338"/>
      <c r="D32" s="338"/>
      <c r="E32" s="338"/>
      <c r="F32" s="338"/>
      <c r="G32" s="338"/>
      <c r="I32" s="107"/>
      <c r="AD32" s="104"/>
      <c r="AE32" s="339" t="s">
        <v>142</v>
      </c>
      <c r="AF32" s="340"/>
      <c r="AG32" s="340"/>
      <c r="AH32" s="340"/>
      <c r="AI32" s="340"/>
      <c r="AJ32" s="340"/>
      <c r="AK32" s="340"/>
      <c r="AL32" s="340"/>
      <c r="AM32" s="340"/>
      <c r="AN32" s="340"/>
      <c r="AO32" s="340"/>
      <c r="AP32" s="340"/>
      <c r="AQ32" s="340"/>
      <c r="AR32" s="340"/>
      <c r="AS32" s="340"/>
      <c r="AT32" s="341"/>
    </row>
    <row r="33" spans="2:29" ht="24" customHeight="1" x14ac:dyDescent="0.2">
      <c r="B33" s="351" t="s">
        <v>95</v>
      </c>
      <c r="C33" s="352"/>
      <c r="D33" s="110" t="s">
        <v>121</v>
      </c>
      <c r="E33" s="110" t="s">
        <v>113</v>
      </c>
      <c r="F33" s="11" t="s">
        <v>35</v>
      </c>
      <c r="G33" s="110"/>
    </row>
    <row r="34" spans="2:29" ht="50.1" customHeight="1" thickBot="1" x14ac:dyDescent="0.25">
      <c r="B34" s="343" t="s">
        <v>352</v>
      </c>
      <c r="C34" s="344"/>
      <c r="D34" s="72">
        <f>D16/D17</f>
        <v>0.83333333333333337</v>
      </c>
      <c r="E34" s="17" t="str">
        <f>IF(ISERROR(SUMSQ(L36:Z36)^2/SUM(L37:Z37)), " ", ROUNDDOWN(SUMSQ(L36:Z36)^2/SUM(L37:Z37),0))</f>
        <v xml:space="preserve"> </v>
      </c>
      <c r="F34" s="72">
        <f xml:space="preserve"> IF( ISERROR( SQRT( TlrCorSq(F16:F30, G16:G30, AF16:AT30))), 0, SQRT(TlrCorSq(F16:F30, G16:G30, AF16:AT30)) )</f>
        <v>2.9588253743903755E-3</v>
      </c>
      <c r="G34" s="110"/>
      <c r="J34" s="64" t="s">
        <v>116</v>
      </c>
      <c r="K34" s="72">
        <f>K16/K17</f>
        <v>0.83333333333333337</v>
      </c>
      <c r="L34" s="72">
        <f t="shared" ref="L34:Z34" si="16">L16/L17</f>
        <v>0.83333341666666672</v>
      </c>
      <c r="M34" s="72">
        <f t="shared" si="16"/>
        <v>0.83333325000000824</v>
      </c>
      <c r="N34" s="72">
        <f t="shared" si="16"/>
        <v>0.83333333333333337</v>
      </c>
      <c r="O34" s="72">
        <f t="shared" si="16"/>
        <v>0.83333333333333337</v>
      </c>
      <c r="P34" s="72">
        <f t="shared" si="16"/>
        <v>0.83333333333333337</v>
      </c>
      <c r="Q34" s="72">
        <f t="shared" si="16"/>
        <v>0.83333333333333337</v>
      </c>
      <c r="R34" s="72">
        <f t="shared" si="16"/>
        <v>0.83333333333333337</v>
      </c>
      <c r="S34" s="72">
        <f t="shared" si="16"/>
        <v>0.83333333333333337</v>
      </c>
      <c r="T34" s="72">
        <f t="shared" si="16"/>
        <v>0.83333333333333337</v>
      </c>
      <c r="U34" s="72">
        <f t="shared" si="16"/>
        <v>0.83333333333333337</v>
      </c>
      <c r="V34" s="72">
        <f t="shared" si="16"/>
        <v>0.83333333333333337</v>
      </c>
      <c r="W34" s="72">
        <f t="shared" si="16"/>
        <v>0.83333333333333337</v>
      </c>
      <c r="X34" s="72">
        <f t="shared" si="16"/>
        <v>0.83333333333333337</v>
      </c>
      <c r="Y34" s="72">
        <f t="shared" si="16"/>
        <v>0.83333333333333337</v>
      </c>
      <c r="Z34" s="72">
        <f t="shared" si="16"/>
        <v>0.83333333333333337</v>
      </c>
      <c r="AA34" s="76"/>
      <c r="AB34" s="77"/>
      <c r="AC34" s="66"/>
    </row>
    <row r="35" spans="2:29" ht="24.75" customHeight="1" x14ac:dyDescent="0.2">
      <c r="B35" s="345" t="s">
        <v>36</v>
      </c>
      <c r="C35" s="345"/>
      <c r="D35" s="346"/>
      <c r="E35" s="378"/>
      <c r="F35" s="378"/>
      <c r="G35" s="379"/>
      <c r="J35" s="64" t="s">
        <v>117</v>
      </c>
      <c r="L35" s="78">
        <f t="shared" ref="L35:Z35" si="17">IF( L11 = 0, (L34-Eq)/Delta, (L34-Eq)/(Delta*L11))</f>
        <v>3.3333333337992599E-2</v>
      </c>
      <c r="M35" s="78">
        <f t="shared" si="17"/>
        <v>-2.7777775043110371E-2</v>
      </c>
      <c r="N35" s="78">
        <f t="shared" si="17"/>
        <v>0</v>
      </c>
      <c r="O35" s="78">
        <f t="shared" si="17"/>
        <v>0</v>
      </c>
      <c r="P35" s="78">
        <f t="shared" si="17"/>
        <v>0</v>
      </c>
      <c r="Q35" s="78">
        <f t="shared" si="17"/>
        <v>0</v>
      </c>
      <c r="R35" s="78">
        <f t="shared" si="17"/>
        <v>0</v>
      </c>
      <c r="S35" s="78">
        <f t="shared" si="17"/>
        <v>0</v>
      </c>
      <c r="T35" s="78">
        <f t="shared" si="17"/>
        <v>0</v>
      </c>
      <c r="U35" s="78">
        <f t="shared" si="17"/>
        <v>0</v>
      </c>
      <c r="V35" s="78">
        <f t="shared" si="17"/>
        <v>0</v>
      </c>
      <c r="W35" s="78">
        <f t="shared" si="17"/>
        <v>0</v>
      </c>
      <c r="X35" s="78">
        <f t="shared" si="17"/>
        <v>0</v>
      </c>
      <c r="Y35" s="78">
        <f t="shared" si="17"/>
        <v>0</v>
      </c>
      <c r="Z35" s="78">
        <f t="shared" si="17"/>
        <v>0</v>
      </c>
    </row>
    <row r="36" spans="2:29" ht="21.75" customHeight="1" x14ac:dyDescent="0.2">
      <c r="B36" s="347" t="s">
        <v>124</v>
      </c>
      <c r="C36" s="348"/>
      <c r="D36" s="179">
        <f xml:space="preserve"> F34</f>
        <v>2.9588253743903755E-3</v>
      </c>
      <c r="E36" s="380"/>
      <c r="F36" s="380"/>
      <c r="G36" s="381"/>
      <c r="J36" s="64" t="s">
        <v>118</v>
      </c>
      <c r="L36" s="72">
        <f t="shared" ref="L36:Z36" si="18">L35*L13</f>
        <v>2.0922059953909018E-3</v>
      </c>
      <c r="M36" s="72">
        <f t="shared" si="18"/>
        <v>-2.0922049777654939E-3</v>
      </c>
      <c r="N36" s="72">
        <f t="shared" si="18"/>
        <v>0</v>
      </c>
      <c r="O36" s="72">
        <f t="shared" si="18"/>
        <v>0</v>
      </c>
      <c r="P36" s="72">
        <f t="shared" si="18"/>
        <v>0</v>
      </c>
      <c r="Q36" s="72">
        <f t="shared" si="18"/>
        <v>0</v>
      </c>
      <c r="R36" s="72">
        <f t="shared" si="18"/>
        <v>0</v>
      </c>
      <c r="S36" s="72">
        <f t="shared" si="18"/>
        <v>0</v>
      </c>
      <c r="T36" s="72">
        <f t="shared" si="18"/>
        <v>0</v>
      </c>
      <c r="U36" s="72">
        <f t="shared" si="18"/>
        <v>0</v>
      </c>
      <c r="V36" s="72">
        <f t="shared" si="18"/>
        <v>0</v>
      </c>
      <c r="W36" s="72">
        <f t="shared" si="18"/>
        <v>0</v>
      </c>
      <c r="X36" s="72">
        <f t="shared" si="18"/>
        <v>0</v>
      </c>
      <c r="Y36" s="72">
        <f t="shared" si="18"/>
        <v>0</v>
      </c>
      <c r="Z36" s="72">
        <f t="shared" si="18"/>
        <v>0</v>
      </c>
    </row>
    <row r="37" spans="2:29" ht="10.5" hidden="1" customHeight="1" x14ac:dyDescent="0.2">
      <c r="B37" s="349"/>
      <c r="C37" s="350"/>
      <c r="D37" s="18"/>
      <c r="E37" s="380"/>
      <c r="F37" s="380"/>
      <c r="G37" s="381"/>
      <c r="J37" s="64" t="s">
        <v>119</v>
      </c>
      <c r="L37" s="72">
        <f t="shared" ref="L37:Z37" si="19">IF(ISERROR(L36^4/L12), 0, L36^4/L12)</f>
        <v>0</v>
      </c>
      <c r="M37" s="72">
        <f t="shared" si="19"/>
        <v>0</v>
      </c>
      <c r="N37" s="72">
        <f t="shared" si="19"/>
        <v>0</v>
      </c>
      <c r="O37" s="72">
        <f t="shared" si="19"/>
        <v>0</v>
      </c>
      <c r="P37" s="72">
        <f t="shared" si="19"/>
        <v>0</v>
      </c>
      <c r="Q37" s="72">
        <f t="shared" si="19"/>
        <v>0</v>
      </c>
      <c r="R37" s="72">
        <f t="shared" si="19"/>
        <v>0</v>
      </c>
      <c r="S37" s="72">
        <f t="shared" si="19"/>
        <v>0</v>
      </c>
      <c r="T37" s="72">
        <f t="shared" si="19"/>
        <v>0</v>
      </c>
      <c r="U37" s="72">
        <f t="shared" si="19"/>
        <v>0</v>
      </c>
      <c r="V37" s="72">
        <f t="shared" si="19"/>
        <v>0</v>
      </c>
      <c r="W37" s="72">
        <f t="shared" si="19"/>
        <v>0</v>
      </c>
      <c r="X37" s="72">
        <f t="shared" si="19"/>
        <v>0</v>
      </c>
      <c r="Y37" s="72">
        <f t="shared" si="19"/>
        <v>0</v>
      </c>
      <c r="Z37" s="72">
        <f t="shared" si="19"/>
        <v>0</v>
      </c>
    </row>
    <row r="38" spans="2:29" ht="21.75" customHeight="1" x14ac:dyDescent="0.2">
      <c r="B38" s="347" t="s">
        <v>0</v>
      </c>
      <c r="C38" s="348"/>
      <c r="D38" s="112">
        <v>0.95</v>
      </c>
      <c r="E38" s="380"/>
      <c r="F38" s="380"/>
      <c r="G38" s="381"/>
    </row>
    <row r="39" spans="2:29" ht="21.75" customHeight="1" x14ac:dyDescent="0.2">
      <c r="B39" s="347" t="s">
        <v>37</v>
      </c>
      <c r="C39" s="348"/>
      <c r="D39" s="19" t="str">
        <f xml:space="preserve"> IF($AC$39, E34," ")</f>
        <v xml:space="preserve"> </v>
      </c>
      <c r="E39" s="380"/>
      <c r="F39" s="380"/>
      <c r="G39" s="381"/>
      <c r="AC39" s="111" t="b">
        <v>0</v>
      </c>
    </row>
    <row r="40" spans="2:29" ht="21.75" customHeight="1" x14ac:dyDescent="0.2">
      <c r="B40" s="347" t="s">
        <v>38</v>
      </c>
      <c r="C40" s="348"/>
      <c r="D40" s="130">
        <f>IF(ISERROR(TINV(1 - D38,D39)), NORMSINV((1 + D38)/2), TINV(1 - D38,D39))</f>
        <v>1.9599639845400536</v>
      </c>
      <c r="E40" s="380"/>
      <c r="F40" s="380"/>
      <c r="G40" s="381"/>
    </row>
    <row r="41" spans="2:29" ht="21.75" customHeight="1" x14ac:dyDescent="0.2">
      <c r="B41" s="347" t="s">
        <v>125</v>
      </c>
      <c r="C41" s="348"/>
      <c r="D41" s="180">
        <f>D36*D40</f>
        <v>5.7991911703483764E-3</v>
      </c>
      <c r="E41" s="382"/>
      <c r="F41" s="382"/>
      <c r="G41" s="383"/>
    </row>
    <row r="42" spans="2:29" x14ac:dyDescent="0.2">
      <c r="B42" s="342"/>
      <c r="C42" s="342"/>
      <c r="D42" s="342"/>
      <c r="E42" s="342"/>
      <c r="F42" s="342"/>
      <c r="G42" s="342"/>
    </row>
  </sheetData>
  <sheetProtection sheet="1" objects="1" scenarios="1" formatCells="0" formatColumns="0" formatRows="0" sort="0" autoFilter="0"/>
  <mergeCells count="41">
    <mergeCell ref="B4:C4"/>
    <mergeCell ref="D4:G4"/>
    <mergeCell ref="B1:G1"/>
    <mergeCell ref="B2:C2"/>
    <mergeCell ref="D2:G2"/>
    <mergeCell ref="B3:C3"/>
    <mergeCell ref="D3:G3"/>
    <mergeCell ref="B5:C5"/>
    <mergeCell ref="D5:G5"/>
    <mergeCell ref="B6:C6"/>
    <mergeCell ref="D6:G6"/>
    <mergeCell ref="B7:C7"/>
    <mergeCell ref="D7:G7"/>
    <mergeCell ref="B8:C8"/>
    <mergeCell ref="D8:G8"/>
    <mergeCell ref="B9:C9"/>
    <mergeCell ref="D9:G9"/>
    <mergeCell ref="B10:C10"/>
    <mergeCell ref="D10:G10"/>
    <mergeCell ref="B11:C11"/>
    <mergeCell ref="D11:G11"/>
    <mergeCell ref="B12:C12"/>
    <mergeCell ref="D12:G12"/>
    <mergeCell ref="B13:C13"/>
    <mergeCell ref="D13:G13"/>
    <mergeCell ref="AE14:AT14"/>
    <mergeCell ref="B15:C15"/>
    <mergeCell ref="B32:G32"/>
    <mergeCell ref="AE32:AT32"/>
    <mergeCell ref="B42:G42"/>
    <mergeCell ref="B34:C34"/>
    <mergeCell ref="B35:D35"/>
    <mergeCell ref="E35:G41"/>
    <mergeCell ref="B36:C36"/>
    <mergeCell ref="B37:C37"/>
    <mergeCell ref="B38:C38"/>
    <mergeCell ref="B39:C39"/>
    <mergeCell ref="B40:C40"/>
    <mergeCell ref="B41:C41"/>
    <mergeCell ref="B33:C33"/>
    <mergeCell ref="B14:G14"/>
  </mergeCells>
  <printOptions horizontalCentered="1"/>
  <pageMargins left="0.75" right="0.75" top="1" bottom="1" header="0.5" footer="0.5"/>
  <pageSetup scale="7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0296" r:id="rId4" name="Check Box 8">
              <controlPr locked="0" defaultSize="0" print="0" autoFill="0" autoLine="0" autoPict="0">
                <anchor moveWithCells="1">
                  <from>
                    <xdr:col>4</xdr:col>
                    <xdr:colOff>123825</xdr:colOff>
                    <xdr:row>38</xdr:row>
                    <xdr:rowOff>47625</xdr:rowOff>
                  </from>
                  <to>
                    <xdr:col>4</xdr:col>
                    <xdr:colOff>371475</xdr:colOff>
                    <xdr:row>38</xdr:row>
                    <xdr:rowOff>219075</xdr:rowOff>
                  </to>
                </anchor>
              </controlPr>
            </control>
          </mc:Choice>
        </mc:AlternateContent>
        <mc:AlternateContent xmlns:mc="http://schemas.openxmlformats.org/markup-compatibility/2006">
          <mc:Choice Requires="x14">
            <control shapeId="140297" r:id="rId5" name="btnUncReturn">
              <controlPr defaultSize="0" print="0" autoFill="0" autoPict="0" macro="[0]!EqBudget.btnEqReturn_click">
                <anchor>
                  <from>
                    <xdr:col>0</xdr:col>
                    <xdr:colOff>66675</xdr:colOff>
                    <xdr:row>0</xdr:row>
                    <xdr:rowOff>66675</xdr:rowOff>
                  </from>
                  <to>
                    <xdr:col>0</xdr:col>
                    <xdr:colOff>1038225</xdr:colOff>
                    <xdr:row>1</xdr:row>
                    <xdr:rowOff>28575</xdr:rowOff>
                  </to>
                </anchor>
              </controlPr>
            </control>
          </mc:Choice>
        </mc:AlternateContent>
        <mc:AlternateContent xmlns:mc="http://schemas.openxmlformats.org/markup-compatibility/2006">
          <mc:Choice Requires="x14">
            <control shapeId="140298" r:id="rId6" name="btnCancel">
              <controlPr defaultSize="0" print="0" autoFill="0" autoPict="0" macro="[0]!EqBudget.btnEqCancel_click">
                <anchor>
                  <from>
                    <xdr:col>0</xdr:col>
                    <xdr:colOff>66675</xdr:colOff>
                    <xdr:row>1</xdr:row>
                    <xdr:rowOff>47625</xdr:rowOff>
                  </from>
                  <to>
                    <xdr:col>0</xdr:col>
                    <xdr:colOff>1038225</xdr:colOff>
                    <xdr:row>2</xdr:row>
                    <xdr:rowOff>85725</xdr:rowOff>
                  </to>
                </anchor>
              </controlPr>
            </control>
          </mc:Choice>
        </mc:AlternateContent>
        <mc:AlternateContent xmlns:mc="http://schemas.openxmlformats.org/markup-compatibility/2006">
          <mc:Choice Requires="x14">
            <control shapeId="140299" r:id="rId7" name="btnBudget">
              <controlPr defaultSize="0" print="0" autoFill="0" autoPict="0" macro="[0]!EqBudget.btnBudget_Click">
                <anchor>
                  <from>
                    <xdr:col>0</xdr:col>
                    <xdr:colOff>66675</xdr:colOff>
                    <xdr:row>15</xdr:row>
                    <xdr:rowOff>28575</xdr:rowOff>
                  </from>
                  <to>
                    <xdr:col>0</xdr:col>
                    <xdr:colOff>1038225</xdr:colOff>
                    <xdr:row>17</xdr:row>
                    <xdr:rowOff>114300</xdr:rowOff>
                  </to>
                </anchor>
              </controlPr>
            </control>
          </mc:Choice>
        </mc:AlternateContent>
        <mc:AlternateContent xmlns:mc="http://schemas.openxmlformats.org/markup-compatibility/2006">
          <mc:Choice Requires="x14">
            <control shapeId="140300" r:id="rId8" name="btnRep">
              <controlPr defaultSize="0" print="0" autoFill="0" autoPict="0" macro="[0]!EqBudget.btnMatrix_Click">
                <anchor>
                  <from>
                    <xdr:col>0</xdr:col>
                    <xdr:colOff>66675</xdr:colOff>
                    <xdr:row>17</xdr:row>
                    <xdr:rowOff>152400</xdr:rowOff>
                  </from>
                  <to>
                    <xdr:col>0</xdr:col>
                    <xdr:colOff>1038225</xdr:colOff>
                    <xdr:row>20</xdr:row>
                    <xdr:rowOff>76200</xdr:rowOff>
                  </to>
                </anchor>
              </controlPr>
            </control>
          </mc:Choice>
        </mc:AlternateContent>
        <mc:AlternateContent xmlns:mc="http://schemas.openxmlformats.org/markup-compatibility/2006">
          <mc:Choice Requires="x14">
            <control shapeId="140301" r:id="rId9" name="btnChart">
              <controlPr defaultSize="0" print="0" autoFill="0" autoPict="0" macro="[0]!EqBudget.btnChart_Click">
                <anchor>
                  <from>
                    <xdr:col>0</xdr:col>
                    <xdr:colOff>66675</xdr:colOff>
                    <xdr:row>20</xdr:row>
                    <xdr:rowOff>114300</xdr:rowOff>
                  </from>
                  <to>
                    <xdr:col>0</xdr:col>
                    <xdr:colOff>1038225</xdr:colOff>
                    <xdr:row>23</xdr:row>
                    <xdr:rowOff>28575</xdr:rowOff>
                  </to>
                </anchor>
              </controlPr>
            </control>
          </mc:Choice>
        </mc:AlternateContent>
        <mc:AlternateContent xmlns:mc="http://schemas.openxmlformats.org/markup-compatibility/2006">
          <mc:Choice Requires="x14">
            <control shapeId="140302" r:id="rId10" name="Button 14">
              <controlPr defaultSize="0" print="0" autoFill="0" autoPict="0" macro="[0]!EqBudget.btnVarCor_Click">
                <anchor>
                  <from>
                    <xdr:col>30</xdr:col>
                    <xdr:colOff>266700</xdr:colOff>
                    <xdr:row>11</xdr:row>
                    <xdr:rowOff>123825</xdr:rowOff>
                  </from>
                  <to>
                    <xdr:col>33</xdr:col>
                    <xdr:colOff>161925</xdr:colOff>
                    <xdr:row>12</xdr:row>
                    <xdr:rowOff>342900</xdr:rowOff>
                  </to>
                </anchor>
              </controlPr>
            </control>
          </mc:Choice>
        </mc:AlternateContent>
        <mc:AlternateContent xmlns:mc="http://schemas.openxmlformats.org/markup-compatibility/2006">
          <mc:Choice Requires="x14">
            <control shapeId="140303" r:id="rId11" name="Button 15">
              <controlPr defaultSize="0" print="0" autoFill="0" autoPict="0" macro="[0]!EqBudget.btnReset_Click">
                <anchor>
                  <from>
                    <xdr:col>29</xdr:col>
                    <xdr:colOff>1038225</xdr:colOff>
                    <xdr:row>11</xdr:row>
                    <xdr:rowOff>123825</xdr:rowOff>
                  </from>
                  <to>
                    <xdr:col>30</xdr:col>
                    <xdr:colOff>238125</xdr:colOff>
                    <xdr:row>12</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VarCorrelation">
    <pageSetUpPr fitToPage="1"/>
  </sheetPr>
  <dimension ref="A1:Q22"/>
  <sheetViews>
    <sheetView showGridLines="0" workbookViewId="0">
      <selection activeCell="C6" sqref="C6"/>
    </sheetView>
  </sheetViews>
  <sheetFormatPr defaultColWidth="9.140625" defaultRowHeight="12.75" x14ac:dyDescent="0.2"/>
  <cols>
    <col min="1" max="1" width="23.5703125" customWidth="1"/>
    <col min="2" max="2" width="3" style="7" customWidth="1"/>
    <col min="3" max="3" width="28.85546875" style="7" customWidth="1"/>
    <col min="4" max="4" width="14" style="7" customWidth="1"/>
    <col min="5" max="5" width="4.140625" style="7" customWidth="1"/>
    <col min="6" max="6" width="25.42578125" style="7" customWidth="1"/>
    <col min="7" max="7" width="13.140625" style="7" customWidth="1"/>
    <col min="8" max="8" width="13.85546875" style="7" customWidth="1"/>
    <col min="9" max="9" width="9.140625" style="7" hidden="1" customWidth="1"/>
    <col min="10" max="16" width="9.140625" style="7"/>
    <col min="17" max="18" width="0" style="7" hidden="1" customWidth="1"/>
    <col min="19" max="257" width="9.140625" style="7"/>
    <col min="258" max="258" width="3" style="7" customWidth="1"/>
    <col min="259" max="259" width="28.85546875" style="7" customWidth="1"/>
    <col min="260" max="260" width="14" style="7" customWidth="1"/>
    <col min="261" max="261" width="4.140625" style="7" customWidth="1"/>
    <col min="262" max="262" width="25.42578125" style="7" customWidth="1"/>
    <col min="263" max="263" width="13.140625" style="7" customWidth="1"/>
    <col min="264" max="264" width="13.85546875" style="7" customWidth="1"/>
    <col min="265" max="265" width="0" style="7" hidden="1" customWidth="1"/>
    <col min="266" max="513" width="9.140625" style="7"/>
    <col min="514" max="514" width="3" style="7" customWidth="1"/>
    <col min="515" max="515" width="28.85546875" style="7" customWidth="1"/>
    <col min="516" max="516" width="14" style="7" customWidth="1"/>
    <col min="517" max="517" width="4.140625" style="7" customWidth="1"/>
    <col min="518" max="518" width="25.42578125" style="7" customWidth="1"/>
    <col min="519" max="519" width="13.140625" style="7" customWidth="1"/>
    <col min="520" max="520" width="13.85546875" style="7" customWidth="1"/>
    <col min="521" max="521" width="0" style="7" hidden="1" customWidth="1"/>
    <col min="522" max="769" width="9.140625" style="7"/>
    <col min="770" max="770" width="3" style="7" customWidth="1"/>
    <col min="771" max="771" width="28.85546875" style="7" customWidth="1"/>
    <col min="772" max="772" width="14" style="7" customWidth="1"/>
    <col min="773" max="773" width="4.140625" style="7" customWidth="1"/>
    <col min="774" max="774" width="25.42578125" style="7" customWidth="1"/>
    <col min="775" max="775" width="13.140625" style="7" customWidth="1"/>
    <col min="776" max="776" width="13.85546875" style="7" customWidth="1"/>
    <col min="777" max="777" width="0" style="7" hidden="1" customWidth="1"/>
    <col min="778" max="1025" width="9.140625" style="7"/>
    <col min="1026" max="1026" width="3" style="7" customWidth="1"/>
    <col min="1027" max="1027" width="28.85546875" style="7" customWidth="1"/>
    <col min="1028" max="1028" width="14" style="7" customWidth="1"/>
    <col min="1029" max="1029" width="4.140625" style="7" customWidth="1"/>
    <col min="1030" max="1030" width="25.42578125" style="7" customWidth="1"/>
    <col min="1031" max="1031" width="13.140625" style="7" customWidth="1"/>
    <col min="1032" max="1032" width="13.85546875" style="7" customWidth="1"/>
    <col min="1033" max="1033" width="0" style="7" hidden="1" customWidth="1"/>
    <col min="1034" max="1281" width="9.140625" style="7"/>
    <col min="1282" max="1282" width="3" style="7" customWidth="1"/>
    <col min="1283" max="1283" width="28.85546875" style="7" customWidth="1"/>
    <col min="1284" max="1284" width="14" style="7" customWidth="1"/>
    <col min="1285" max="1285" width="4.140625" style="7" customWidth="1"/>
    <col min="1286" max="1286" width="25.42578125" style="7" customWidth="1"/>
    <col min="1287" max="1287" width="13.140625" style="7" customWidth="1"/>
    <col min="1288" max="1288" width="13.85546875" style="7" customWidth="1"/>
    <col min="1289" max="1289" width="0" style="7" hidden="1" customWidth="1"/>
    <col min="1290" max="1537" width="9.140625" style="7"/>
    <col min="1538" max="1538" width="3" style="7" customWidth="1"/>
    <col min="1539" max="1539" width="28.85546875" style="7" customWidth="1"/>
    <col min="1540" max="1540" width="14" style="7" customWidth="1"/>
    <col min="1541" max="1541" width="4.140625" style="7" customWidth="1"/>
    <col min="1542" max="1542" width="25.42578125" style="7" customWidth="1"/>
    <col min="1543" max="1543" width="13.140625" style="7" customWidth="1"/>
    <col min="1544" max="1544" width="13.85546875" style="7" customWidth="1"/>
    <col min="1545" max="1545" width="0" style="7" hidden="1" customWidth="1"/>
    <col min="1546" max="1793" width="9.140625" style="7"/>
    <col min="1794" max="1794" width="3" style="7" customWidth="1"/>
    <col min="1795" max="1795" width="28.85546875" style="7" customWidth="1"/>
    <col min="1796" max="1796" width="14" style="7" customWidth="1"/>
    <col min="1797" max="1797" width="4.140625" style="7" customWidth="1"/>
    <col min="1798" max="1798" width="25.42578125" style="7" customWidth="1"/>
    <col min="1799" max="1799" width="13.140625" style="7" customWidth="1"/>
    <col min="1800" max="1800" width="13.85546875" style="7" customWidth="1"/>
    <col min="1801" max="1801" width="0" style="7" hidden="1" customWidth="1"/>
    <col min="1802" max="2049" width="9.140625" style="7"/>
    <col min="2050" max="2050" width="3" style="7" customWidth="1"/>
    <col min="2051" max="2051" width="28.85546875" style="7" customWidth="1"/>
    <col min="2052" max="2052" width="14" style="7" customWidth="1"/>
    <col min="2053" max="2053" width="4.140625" style="7" customWidth="1"/>
    <col min="2054" max="2054" width="25.42578125" style="7" customWidth="1"/>
    <col min="2055" max="2055" width="13.140625" style="7" customWidth="1"/>
    <col min="2056" max="2056" width="13.85546875" style="7" customWidth="1"/>
    <col min="2057" max="2057" width="0" style="7" hidden="1" customWidth="1"/>
    <col min="2058" max="2305" width="9.140625" style="7"/>
    <col min="2306" max="2306" width="3" style="7" customWidth="1"/>
    <col min="2307" max="2307" width="28.85546875" style="7" customWidth="1"/>
    <col min="2308" max="2308" width="14" style="7" customWidth="1"/>
    <col min="2309" max="2309" width="4.140625" style="7" customWidth="1"/>
    <col min="2310" max="2310" width="25.42578125" style="7" customWidth="1"/>
    <col min="2311" max="2311" width="13.140625" style="7" customWidth="1"/>
    <col min="2312" max="2312" width="13.85546875" style="7" customWidth="1"/>
    <col min="2313" max="2313" width="0" style="7" hidden="1" customWidth="1"/>
    <col min="2314" max="2561" width="9.140625" style="7"/>
    <col min="2562" max="2562" width="3" style="7" customWidth="1"/>
    <col min="2563" max="2563" width="28.85546875" style="7" customWidth="1"/>
    <col min="2564" max="2564" width="14" style="7" customWidth="1"/>
    <col min="2565" max="2565" width="4.140625" style="7" customWidth="1"/>
    <col min="2566" max="2566" width="25.42578125" style="7" customWidth="1"/>
    <col min="2567" max="2567" width="13.140625" style="7" customWidth="1"/>
    <col min="2568" max="2568" width="13.85546875" style="7" customWidth="1"/>
    <col min="2569" max="2569" width="0" style="7" hidden="1" customWidth="1"/>
    <col min="2570" max="2817" width="9.140625" style="7"/>
    <col min="2818" max="2818" width="3" style="7" customWidth="1"/>
    <col min="2819" max="2819" width="28.85546875" style="7" customWidth="1"/>
    <col min="2820" max="2820" width="14" style="7" customWidth="1"/>
    <col min="2821" max="2821" width="4.140625" style="7" customWidth="1"/>
    <col min="2822" max="2822" width="25.42578125" style="7" customWidth="1"/>
    <col min="2823" max="2823" width="13.140625" style="7" customWidth="1"/>
    <col min="2824" max="2824" width="13.85546875" style="7" customWidth="1"/>
    <col min="2825" max="2825" width="0" style="7" hidden="1" customWidth="1"/>
    <col min="2826" max="3073" width="9.140625" style="7"/>
    <col min="3074" max="3074" width="3" style="7" customWidth="1"/>
    <col min="3075" max="3075" width="28.85546875" style="7" customWidth="1"/>
    <col min="3076" max="3076" width="14" style="7" customWidth="1"/>
    <col min="3077" max="3077" width="4.140625" style="7" customWidth="1"/>
    <col min="3078" max="3078" width="25.42578125" style="7" customWidth="1"/>
    <col min="3079" max="3079" width="13.140625" style="7" customWidth="1"/>
    <col min="3080" max="3080" width="13.85546875" style="7" customWidth="1"/>
    <col min="3081" max="3081" width="0" style="7" hidden="1" customWidth="1"/>
    <col min="3082" max="3329" width="9.140625" style="7"/>
    <col min="3330" max="3330" width="3" style="7" customWidth="1"/>
    <col min="3331" max="3331" width="28.85546875" style="7" customWidth="1"/>
    <col min="3332" max="3332" width="14" style="7" customWidth="1"/>
    <col min="3333" max="3333" width="4.140625" style="7" customWidth="1"/>
    <col min="3334" max="3334" width="25.42578125" style="7" customWidth="1"/>
    <col min="3335" max="3335" width="13.140625" style="7" customWidth="1"/>
    <col min="3336" max="3336" width="13.85546875" style="7" customWidth="1"/>
    <col min="3337" max="3337" width="0" style="7" hidden="1" customWidth="1"/>
    <col min="3338" max="3585" width="9.140625" style="7"/>
    <col min="3586" max="3586" width="3" style="7" customWidth="1"/>
    <col min="3587" max="3587" width="28.85546875" style="7" customWidth="1"/>
    <col min="3588" max="3588" width="14" style="7" customWidth="1"/>
    <col min="3589" max="3589" width="4.140625" style="7" customWidth="1"/>
    <col min="3590" max="3590" width="25.42578125" style="7" customWidth="1"/>
    <col min="3591" max="3591" width="13.140625" style="7" customWidth="1"/>
    <col min="3592" max="3592" width="13.85546875" style="7" customWidth="1"/>
    <col min="3593" max="3593" width="0" style="7" hidden="1" customWidth="1"/>
    <col min="3594" max="3841" width="9.140625" style="7"/>
    <col min="3842" max="3842" width="3" style="7" customWidth="1"/>
    <col min="3843" max="3843" width="28.85546875" style="7" customWidth="1"/>
    <col min="3844" max="3844" width="14" style="7" customWidth="1"/>
    <col min="3845" max="3845" width="4.140625" style="7" customWidth="1"/>
    <col min="3846" max="3846" width="25.42578125" style="7" customWidth="1"/>
    <col min="3847" max="3847" width="13.140625" style="7" customWidth="1"/>
    <col min="3848" max="3848" width="13.85546875" style="7" customWidth="1"/>
    <col min="3849" max="3849" width="0" style="7" hidden="1" customWidth="1"/>
    <col min="3850" max="4097" width="9.140625" style="7"/>
    <col min="4098" max="4098" width="3" style="7" customWidth="1"/>
    <col min="4099" max="4099" width="28.85546875" style="7" customWidth="1"/>
    <col min="4100" max="4100" width="14" style="7" customWidth="1"/>
    <col min="4101" max="4101" width="4.140625" style="7" customWidth="1"/>
    <col min="4102" max="4102" width="25.42578125" style="7" customWidth="1"/>
    <col min="4103" max="4103" width="13.140625" style="7" customWidth="1"/>
    <col min="4104" max="4104" width="13.85546875" style="7" customWidth="1"/>
    <col min="4105" max="4105" width="0" style="7" hidden="1" customWidth="1"/>
    <col min="4106" max="4353" width="9.140625" style="7"/>
    <col min="4354" max="4354" width="3" style="7" customWidth="1"/>
    <col min="4355" max="4355" width="28.85546875" style="7" customWidth="1"/>
    <col min="4356" max="4356" width="14" style="7" customWidth="1"/>
    <col min="4357" max="4357" width="4.140625" style="7" customWidth="1"/>
    <col min="4358" max="4358" width="25.42578125" style="7" customWidth="1"/>
    <col min="4359" max="4359" width="13.140625" style="7" customWidth="1"/>
    <col min="4360" max="4360" width="13.85546875" style="7" customWidth="1"/>
    <col min="4361" max="4361" width="0" style="7" hidden="1" customWidth="1"/>
    <col min="4362" max="4609" width="9.140625" style="7"/>
    <col min="4610" max="4610" width="3" style="7" customWidth="1"/>
    <col min="4611" max="4611" width="28.85546875" style="7" customWidth="1"/>
    <col min="4612" max="4612" width="14" style="7" customWidth="1"/>
    <col min="4613" max="4613" width="4.140625" style="7" customWidth="1"/>
    <col min="4614" max="4614" width="25.42578125" style="7" customWidth="1"/>
    <col min="4615" max="4615" width="13.140625" style="7" customWidth="1"/>
    <col min="4616" max="4616" width="13.85546875" style="7" customWidth="1"/>
    <col min="4617" max="4617" width="0" style="7" hidden="1" customWidth="1"/>
    <col min="4618" max="4865" width="9.140625" style="7"/>
    <col min="4866" max="4866" width="3" style="7" customWidth="1"/>
    <col min="4867" max="4867" width="28.85546875" style="7" customWidth="1"/>
    <col min="4868" max="4868" width="14" style="7" customWidth="1"/>
    <col min="4869" max="4869" width="4.140625" style="7" customWidth="1"/>
    <col min="4870" max="4870" width="25.42578125" style="7" customWidth="1"/>
    <col min="4871" max="4871" width="13.140625" style="7" customWidth="1"/>
    <col min="4872" max="4872" width="13.85546875" style="7" customWidth="1"/>
    <col min="4873" max="4873" width="0" style="7" hidden="1" customWidth="1"/>
    <col min="4874" max="5121" width="9.140625" style="7"/>
    <col min="5122" max="5122" width="3" style="7" customWidth="1"/>
    <col min="5123" max="5123" width="28.85546875" style="7" customWidth="1"/>
    <col min="5124" max="5124" width="14" style="7" customWidth="1"/>
    <col min="5125" max="5125" width="4.140625" style="7" customWidth="1"/>
    <col min="5126" max="5126" width="25.42578125" style="7" customWidth="1"/>
    <col min="5127" max="5127" width="13.140625" style="7" customWidth="1"/>
    <col min="5128" max="5128" width="13.85546875" style="7" customWidth="1"/>
    <col min="5129" max="5129" width="0" style="7" hidden="1" customWidth="1"/>
    <col min="5130" max="5377" width="9.140625" style="7"/>
    <col min="5378" max="5378" width="3" style="7" customWidth="1"/>
    <col min="5379" max="5379" width="28.85546875" style="7" customWidth="1"/>
    <col min="5380" max="5380" width="14" style="7" customWidth="1"/>
    <col min="5381" max="5381" width="4.140625" style="7" customWidth="1"/>
    <col min="5382" max="5382" width="25.42578125" style="7" customWidth="1"/>
    <col min="5383" max="5383" width="13.140625" style="7" customWidth="1"/>
    <col min="5384" max="5384" width="13.85546875" style="7" customWidth="1"/>
    <col min="5385" max="5385" width="0" style="7" hidden="1" customWidth="1"/>
    <col min="5386" max="5633" width="9.140625" style="7"/>
    <col min="5634" max="5634" width="3" style="7" customWidth="1"/>
    <col min="5635" max="5635" width="28.85546875" style="7" customWidth="1"/>
    <col min="5636" max="5636" width="14" style="7" customWidth="1"/>
    <col min="5637" max="5637" width="4.140625" style="7" customWidth="1"/>
    <col min="5638" max="5638" width="25.42578125" style="7" customWidth="1"/>
    <col min="5639" max="5639" width="13.140625" style="7" customWidth="1"/>
    <col min="5640" max="5640" width="13.85546875" style="7" customWidth="1"/>
    <col min="5641" max="5641" width="0" style="7" hidden="1" customWidth="1"/>
    <col min="5642" max="5889" width="9.140625" style="7"/>
    <col min="5890" max="5890" width="3" style="7" customWidth="1"/>
    <col min="5891" max="5891" width="28.85546875" style="7" customWidth="1"/>
    <col min="5892" max="5892" width="14" style="7" customWidth="1"/>
    <col min="5893" max="5893" width="4.140625" style="7" customWidth="1"/>
    <col min="5894" max="5894" width="25.42578125" style="7" customWidth="1"/>
    <col min="5895" max="5895" width="13.140625" style="7" customWidth="1"/>
    <col min="5896" max="5896" width="13.85546875" style="7" customWidth="1"/>
    <col min="5897" max="5897" width="0" style="7" hidden="1" customWidth="1"/>
    <col min="5898" max="6145" width="9.140625" style="7"/>
    <col min="6146" max="6146" width="3" style="7" customWidth="1"/>
    <col min="6147" max="6147" width="28.85546875" style="7" customWidth="1"/>
    <col min="6148" max="6148" width="14" style="7" customWidth="1"/>
    <col min="6149" max="6149" width="4.140625" style="7" customWidth="1"/>
    <col min="6150" max="6150" width="25.42578125" style="7" customWidth="1"/>
    <col min="6151" max="6151" width="13.140625" style="7" customWidth="1"/>
    <col min="6152" max="6152" width="13.85546875" style="7" customWidth="1"/>
    <col min="6153" max="6153" width="0" style="7" hidden="1" customWidth="1"/>
    <col min="6154" max="6401" width="9.140625" style="7"/>
    <col min="6402" max="6402" width="3" style="7" customWidth="1"/>
    <col min="6403" max="6403" width="28.85546875" style="7" customWidth="1"/>
    <col min="6404" max="6404" width="14" style="7" customWidth="1"/>
    <col min="6405" max="6405" width="4.140625" style="7" customWidth="1"/>
    <col min="6406" max="6406" width="25.42578125" style="7" customWidth="1"/>
    <col min="6407" max="6407" width="13.140625" style="7" customWidth="1"/>
    <col min="6408" max="6408" width="13.85546875" style="7" customWidth="1"/>
    <col min="6409" max="6409" width="0" style="7" hidden="1" customWidth="1"/>
    <col min="6410" max="6657" width="9.140625" style="7"/>
    <col min="6658" max="6658" width="3" style="7" customWidth="1"/>
    <col min="6659" max="6659" width="28.85546875" style="7" customWidth="1"/>
    <col min="6660" max="6660" width="14" style="7" customWidth="1"/>
    <col min="6661" max="6661" width="4.140625" style="7" customWidth="1"/>
    <col min="6662" max="6662" width="25.42578125" style="7" customWidth="1"/>
    <col min="6663" max="6663" width="13.140625" style="7" customWidth="1"/>
    <col min="6664" max="6664" width="13.85546875" style="7" customWidth="1"/>
    <col min="6665" max="6665" width="0" style="7" hidden="1" customWidth="1"/>
    <col min="6666" max="6913" width="9.140625" style="7"/>
    <col min="6914" max="6914" width="3" style="7" customWidth="1"/>
    <col min="6915" max="6915" width="28.85546875" style="7" customWidth="1"/>
    <col min="6916" max="6916" width="14" style="7" customWidth="1"/>
    <col min="6917" max="6917" width="4.140625" style="7" customWidth="1"/>
    <col min="6918" max="6918" width="25.42578125" style="7" customWidth="1"/>
    <col min="6919" max="6919" width="13.140625" style="7" customWidth="1"/>
    <col min="6920" max="6920" width="13.85546875" style="7" customWidth="1"/>
    <col min="6921" max="6921" width="0" style="7" hidden="1" customWidth="1"/>
    <col min="6922" max="7169" width="9.140625" style="7"/>
    <col min="7170" max="7170" width="3" style="7" customWidth="1"/>
    <col min="7171" max="7171" width="28.85546875" style="7" customWidth="1"/>
    <col min="7172" max="7172" width="14" style="7" customWidth="1"/>
    <col min="7173" max="7173" width="4.140625" style="7" customWidth="1"/>
    <col min="7174" max="7174" width="25.42578125" style="7" customWidth="1"/>
    <col min="7175" max="7175" width="13.140625" style="7" customWidth="1"/>
    <col min="7176" max="7176" width="13.85546875" style="7" customWidth="1"/>
    <col min="7177" max="7177" width="0" style="7" hidden="1" customWidth="1"/>
    <col min="7178" max="7425" width="9.140625" style="7"/>
    <col min="7426" max="7426" width="3" style="7" customWidth="1"/>
    <col min="7427" max="7427" width="28.85546875" style="7" customWidth="1"/>
    <col min="7428" max="7428" width="14" style="7" customWidth="1"/>
    <col min="7429" max="7429" width="4.140625" style="7" customWidth="1"/>
    <col min="7430" max="7430" width="25.42578125" style="7" customWidth="1"/>
    <col min="7431" max="7431" width="13.140625" style="7" customWidth="1"/>
    <col min="7432" max="7432" width="13.85546875" style="7" customWidth="1"/>
    <col min="7433" max="7433" width="0" style="7" hidden="1" customWidth="1"/>
    <col min="7434" max="7681" width="9.140625" style="7"/>
    <col min="7682" max="7682" width="3" style="7" customWidth="1"/>
    <col min="7683" max="7683" width="28.85546875" style="7" customWidth="1"/>
    <col min="7684" max="7684" width="14" style="7" customWidth="1"/>
    <col min="7685" max="7685" width="4.140625" style="7" customWidth="1"/>
    <col min="7686" max="7686" width="25.42578125" style="7" customWidth="1"/>
    <col min="7687" max="7687" width="13.140625" style="7" customWidth="1"/>
    <col min="7688" max="7688" width="13.85546875" style="7" customWidth="1"/>
    <col min="7689" max="7689" width="0" style="7" hidden="1" customWidth="1"/>
    <col min="7690" max="7937" width="9.140625" style="7"/>
    <col min="7938" max="7938" width="3" style="7" customWidth="1"/>
    <col min="7939" max="7939" width="28.85546875" style="7" customWidth="1"/>
    <col min="7940" max="7940" width="14" style="7" customWidth="1"/>
    <col min="7941" max="7941" width="4.140625" style="7" customWidth="1"/>
    <col min="7942" max="7942" width="25.42578125" style="7" customWidth="1"/>
    <col min="7943" max="7943" width="13.140625" style="7" customWidth="1"/>
    <col min="7944" max="7944" width="13.85546875" style="7" customWidth="1"/>
    <col min="7945" max="7945" width="0" style="7" hidden="1" customWidth="1"/>
    <col min="7946" max="8193" width="9.140625" style="7"/>
    <col min="8194" max="8194" width="3" style="7" customWidth="1"/>
    <col min="8195" max="8195" width="28.85546875" style="7" customWidth="1"/>
    <col min="8196" max="8196" width="14" style="7" customWidth="1"/>
    <col min="8197" max="8197" width="4.140625" style="7" customWidth="1"/>
    <col min="8198" max="8198" width="25.42578125" style="7" customWidth="1"/>
    <col min="8199" max="8199" width="13.140625" style="7" customWidth="1"/>
    <col min="8200" max="8200" width="13.85546875" style="7" customWidth="1"/>
    <col min="8201" max="8201" width="0" style="7" hidden="1" customWidth="1"/>
    <col min="8202" max="8449" width="9.140625" style="7"/>
    <col min="8450" max="8450" width="3" style="7" customWidth="1"/>
    <col min="8451" max="8451" width="28.85546875" style="7" customWidth="1"/>
    <col min="8452" max="8452" width="14" style="7" customWidth="1"/>
    <col min="8453" max="8453" width="4.140625" style="7" customWidth="1"/>
    <col min="8454" max="8454" width="25.42578125" style="7" customWidth="1"/>
    <col min="8455" max="8455" width="13.140625" style="7" customWidth="1"/>
    <col min="8456" max="8456" width="13.85546875" style="7" customWidth="1"/>
    <col min="8457" max="8457" width="0" style="7" hidden="1" customWidth="1"/>
    <col min="8458" max="8705" width="9.140625" style="7"/>
    <col min="8706" max="8706" width="3" style="7" customWidth="1"/>
    <col min="8707" max="8707" width="28.85546875" style="7" customWidth="1"/>
    <col min="8708" max="8708" width="14" style="7" customWidth="1"/>
    <col min="8709" max="8709" width="4.140625" style="7" customWidth="1"/>
    <col min="8710" max="8710" width="25.42578125" style="7" customWidth="1"/>
    <col min="8711" max="8711" width="13.140625" style="7" customWidth="1"/>
    <col min="8712" max="8712" width="13.85546875" style="7" customWidth="1"/>
    <col min="8713" max="8713" width="0" style="7" hidden="1" customWidth="1"/>
    <col min="8714" max="8961" width="9.140625" style="7"/>
    <col min="8962" max="8962" width="3" style="7" customWidth="1"/>
    <col min="8963" max="8963" width="28.85546875" style="7" customWidth="1"/>
    <col min="8964" max="8964" width="14" style="7" customWidth="1"/>
    <col min="8965" max="8965" width="4.140625" style="7" customWidth="1"/>
    <col min="8966" max="8966" width="25.42578125" style="7" customWidth="1"/>
    <col min="8967" max="8967" width="13.140625" style="7" customWidth="1"/>
    <col min="8968" max="8968" width="13.85546875" style="7" customWidth="1"/>
    <col min="8969" max="8969" width="0" style="7" hidden="1" customWidth="1"/>
    <col min="8970" max="9217" width="9.140625" style="7"/>
    <col min="9218" max="9218" width="3" style="7" customWidth="1"/>
    <col min="9219" max="9219" width="28.85546875" style="7" customWidth="1"/>
    <col min="9220" max="9220" width="14" style="7" customWidth="1"/>
    <col min="9221" max="9221" width="4.140625" style="7" customWidth="1"/>
    <col min="9222" max="9222" width="25.42578125" style="7" customWidth="1"/>
    <col min="9223" max="9223" width="13.140625" style="7" customWidth="1"/>
    <col min="9224" max="9224" width="13.85546875" style="7" customWidth="1"/>
    <col min="9225" max="9225" width="0" style="7" hidden="1" customWidth="1"/>
    <col min="9226" max="9473" width="9.140625" style="7"/>
    <col min="9474" max="9474" width="3" style="7" customWidth="1"/>
    <col min="9475" max="9475" width="28.85546875" style="7" customWidth="1"/>
    <col min="9476" max="9476" width="14" style="7" customWidth="1"/>
    <col min="9477" max="9477" width="4.140625" style="7" customWidth="1"/>
    <col min="9478" max="9478" width="25.42578125" style="7" customWidth="1"/>
    <col min="9479" max="9479" width="13.140625" style="7" customWidth="1"/>
    <col min="9480" max="9480" width="13.85546875" style="7" customWidth="1"/>
    <col min="9481" max="9481" width="0" style="7" hidden="1" customWidth="1"/>
    <col min="9482" max="9729" width="9.140625" style="7"/>
    <col min="9730" max="9730" width="3" style="7" customWidth="1"/>
    <col min="9731" max="9731" width="28.85546875" style="7" customWidth="1"/>
    <col min="9732" max="9732" width="14" style="7" customWidth="1"/>
    <col min="9733" max="9733" width="4.140625" style="7" customWidth="1"/>
    <col min="9734" max="9734" width="25.42578125" style="7" customWidth="1"/>
    <col min="9735" max="9735" width="13.140625" style="7" customWidth="1"/>
    <col min="9736" max="9736" width="13.85546875" style="7" customWidth="1"/>
    <col min="9737" max="9737" width="0" style="7" hidden="1" customWidth="1"/>
    <col min="9738" max="9985" width="9.140625" style="7"/>
    <col min="9986" max="9986" width="3" style="7" customWidth="1"/>
    <col min="9987" max="9987" width="28.85546875" style="7" customWidth="1"/>
    <col min="9988" max="9988" width="14" style="7" customWidth="1"/>
    <col min="9989" max="9989" width="4.140625" style="7" customWidth="1"/>
    <col min="9990" max="9990" width="25.42578125" style="7" customWidth="1"/>
    <col min="9991" max="9991" width="13.140625" style="7" customWidth="1"/>
    <col min="9992" max="9992" width="13.85546875" style="7" customWidth="1"/>
    <col min="9993" max="9993" width="0" style="7" hidden="1" customWidth="1"/>
    <col min="9994" max="10241" width="9.140625" style="7"/>
    <col min="10242" max="10242" width="3" style="7" customWidth="1"/>
    <col min="10243" max="10243" width="28.85546875" style="7" customWidth="1"/>
    <col min="10244" max="10244" width="14" style="7" customWidth="1"/>
    <col min="10245" max="10245" width="4.140625" style="7" customWidth="1"/>
    <col min="10246" max="10246" width="25.42578125" style="7" customWidth="1"/>
    <col min="10247" max="10247" width="13.140625" style="7" customWidth="1"/>
    <col min="10248" max="10248" width="13.85546875" style="7" customWidth="1"/>
    <col min="10249" max="10249" width="0" style="7" hidden="1" customWidth="1"/>
    <col min="10250" max="10497" width="9.140625" style="7"/>
    <col min="10498" max="10498" width="3" style="7" customWidth="1"/>
    <col min="10499" max="10499" width="28.85546875" style="7" customWidth="1"/>
    <col min="10500" max="10500" width="14" style="7" customWidth="1"/>
    <col min="10501" max="10501" width="4.140625" style="7" customWidth="1"/>
    <col min="10502" max="10502" width="25.42578125" style="7" customWidth="1"/>
    <col min="10503" max="10503" width="13.140625" style="7" customWidth="1"/>
    <col min="10504" max="10504" width="13.85546875" style="7" customWidth="1"/>
    <col min="10505" max="10505" width="0" style="7" hidden="1" customWidth="1"/>
    <col min="10506" max="10753" width="9.140625" style="7"/>
    <col min="10754" max="10754" width="3" style="7" customWidth="1"/>
    <col min="10755" max="10755" width="28.85546875" style="7" customWidth="1"/>
    <col min="10756" max="10756" width="14" style="7" customWidth="1"/>
    <col min="10757" max="10757" width="4.140625" style="7" customWidth="1"/>
    <col min="10758" max="10758" width="25.42578125" style="7" customWidth="1"/>
    <col min="10759" max="10759" width="13.140625" style="7" customWidth="1"/>
    <col min="10760" max="10760" width="13.85546875" style="7" customWidth="1"/>
    <col min="10761" max="10761" width="0" style="7" hidden="1" customWidth="1"/>
    <col min="10762" max="11009" width="9.140625" style="7"/>
    <col min="11010" max="11010" width="3" style="7" customWidth="1"/>
    <col min="11011" max="11011" width="28.85546875" style="7" customWidth="1"/>
    <col min="11012" max="11012" width="14" style="7" customWidth="1"/>
    <col min="11013" max="11013" width="4.140625" style="7" customWidth="1"/>
    <col min="11014" max="11014" width="25.42578125" style="7" customWidth="1"/>
    <col min="11015" max="11015" width="13.140625" style="7" customWidth="1"/>
    <col min="11016" max="11016" width="13.85546875" style="7" customWidth="1"/>
    <col min="11017" max="11017" width="0" style="7" hidden="1" customWidth="1"/>
    <col min="11018" max="11265" width="9.140625" style="7"/>
    <col min="11266" max="11266" width="3" style="7" customWidth="1"/>
    <col min="11267" max="11267" width="28.85546875" style="7" customWidth="1"/>
    <col min="11268" max="11268" width="14" style="7" customWidth="1"/>
    <col min="11269" max="11269" width="4.140625" style="7" customWidth="1"/>
    <col min="11270" max="11270" width="25.42578125" style="7" customWidth="1"/>
    <col min="11271" max="11271" width="13.140625" style="7" customWidth="1"/>
    <col min="11272" max="11272" width="13.85546875" style="7" customWidth="1"/>
    <col min="11273" max="11273" width="0" style="7" hidden="1" customWidth="1"/>
    <col min="11274" max="11521" width="9.140625" style="7"/>
    <col min="11522" max="11522" width="3" style="7" customWidth="1"/>
    <col min="11523" max="11523" width="28.85546875" style="7" customWidth="1"/>
    <col min="11524" max="11524" width="14" style="7" customWidth="1"/>
    <col min="11525" max="11525" width="4.140625" style="7" customWidth="1"/>
    <col min="11526" max="11526" width="25.42578125" style="7" customWidth="1"/>
    <col min="11527" max="11527" width="13.140625" style="7" customWidth="1"/>
    <col min="11528" max="11528" width="13.85546875" style="7" customWidth="1"/>
    <col min="11529" max="11529" width="0" style="7" hidden="1" customWidth="1"/>
    <col min="11530" max="11777" width="9.140625" style="7"/>
    <col min="11778" max="11778" width="3" style="7" customWidth="1"/>
    <col min="11779" max="11779" width="28.85546875" style="7" customWidth="1"/>
    <col min="11780" max="11780" width="14" style="7" customWidth="1"/>
    <col min="11781" max="11781" width="4.140625" style="7" customWidth="1"/>
    <col min="11782" max="11782" width="25.42578125" style="7" customWidth="1"/>
    <col min="11783" max="11783" width="13.140625" style="7" customWidth="1"/>
    <col min="11784" max="11784" width="13.85546875" style="7" customWidth="1"/>
    <col min="11785" max="11785" width="0" style="7" hidden="1" customWidth="1"/>
    <col min="11786" max="12033" width="9.140625" style="7"/>
    <col min="12034" max="12034" width="3" style="7" customWidth="1"/>
    <col min="12035" max="12035" width="28.85546875" style="7" customWidth="1"/>
    <col min="12036" max="12036" width="14" style="7" customWidth="1"/>
    <col min="12037" max="12037" width="4.140625" style="7" customWidth="1"/>
    <col min="12038" max="12038" width="25.42578125" style="7" customWidth="1"/>
    <col min="12039" max="12039" width="13.140625" style="7" customWidth="1"/>
    <col min="12040" max="12040" width="13.85546875" style="7" customWidth="1"/>
    <col min="12041" max="12041" width="0" style="7" hidden="1" customWidth="1"/>
    <col min="12042" max="12289" width="9.140625" style="7"/>
    <col min="12290" max="12290" width="3" style="7" customWidth="1"/>
    <col min="12291" max="12291" width="28.85546875" style="7" customWidth="1"/>
    <col min="12292" max="12292" width="14" style="7" customWidth="1"/>
    <col min="12293" max="12293" width="4.140625" style="7" customWidth="1"/>
    <col min="12294" max="12294" width="25.42578125" style="7" customWidth="1"/>
    <col min="12295" max="12295" width="13.140625" style="7" customWidth="1"/>
    <col min="12296" max="12296" width="13.85546875" style="7" customWidth="1"/>
    <col min="12297" max="12297" width="0" style="7" hidden="1" customWidth="1"/>
    <col min="12298" max="12545" width="9.140625" style="7"/>
    <col min="12546" max="12546" width="3" style="7" customWidth="1"/>
    <col min="12547" max="12547" width="28.85546875" style="7" customWidth="1"/>
    <col min="12548" max="12548" width="14" style="7" customWidth="1"/>
    <col min="12549" max="12549" width="4.140625" style="7" customWidth="1"/>
    <col min="12550" max="12550" width="25.42578125" style="7" customWidth="1"/>
    <col min="12551" max="12551" width="13.140625" style="7" customWidth="1"/>
    <col min="12552" max="12552" width="13.85546875" style="7" customWidth="1"/>
    <col min="12553" max="12553" width="0" style="7" hidden="1" customWidth="1"/>
    <col min="12554" max="12801" width="9.140625" style="7"/>
    <col min="12802" max="12802" width="3" style="7" customWidth="1"/>
    <col min="12803" max="12803" width="28.85546875" style="7" customWidth="1"/>
    <col min="12804" max="12804" width="14" style="7" customWidth="1"/>
    <col min="12805" max="12805" width="4.140625" style="7" customWidth="1"/>
    <col min="12806" max="12806" width="25.42578125" style="7" customWidth="1"/>
    <col min="12807" max="12807" width="13.140625" style="7" customWidth="1"/>
    <col min="12808" max="12808" width="13.85546875" style="7" customWidth="1"/>
    <col min="12809" max="12809" width="0" style="7" hidden="1" customWidth="1"/>
    <col min="12810" max="13057" width="9.140625" style="7"/>
    <col min="13058" max="13058" width="3" style="7" customWidth="1"/>
    <col min="13059" max="13059" width="28.85546875" style="7" customWidth="1"/>
    <col min="13060" max="13060" width="14" style="7" customWidth="1"/>
    <col min="13061" max="13061" width="4.140625" style="7" customWidth="1"/>
    <col min="13062" max="13062" width="25.42578125" style="7" customWidth="1"/>
    <col min="13063" max="13063" width="13.140625" style="7" customWidth="1"/>
    <col min="13064" max="13064" width="13.85546875" style="7" customWidth="1"/>
    <col min="13065" max="13065" width="0" style="7" hidden="1" customWidth="1"/>
    <col min="13066" max="13313" width="9.140625" style="7"/>
    <col min="13314" max="13314" width="3" style="7" customWidth="1"/>
    <col min="13315" max="13315" width="28.85546875" style="7" customWidth="1"/>
    <col min="13316" max="13316" width="14" style="7" customWidth="1"/>
    <col min="13317" max="13317" width="4.140625" style="7" customWidth="1"/>
    <col min="13318" max="13318" width="25.42578125" style="7" customWidth="1"/>
    <col min="13319" max="13319" width="13.140625" style="7" customWidth="1"/>
    <col min="13320" max="13320" width="13.85546875" style="7" customWidth="1"/>
    <col min="13321" max="13321" width="0" style="7" hidden="1" customWidth="1"/>
    <col min="13322" max="13569" width="9.140625" style="7"/>
    <col min="13570" max="13570" width="3" style="7" customWidth="1"/>
    <col min="13571" max="13571" width="28.85546875" style="7" customWidth="1"/>
    <col min="13572" max="13572" width="14" style="7" customWidth="1"/>
    <col min="13573" max="13573" width="4.140625" style="7" customWidth="1"/>
    <col min="13574" max="13574" width="25.42578125" style="7" customWidth="1"/>
    <col min="13575" max="13575" width="13.140625" style="7" customWidth="1"/>
    <col min="13576" max="13576" width="13.85546875" style="7" customWidth="1"/>
    <col min="13577" max="13577" width="0" style="7" hidden="1" customWidth="1"/>
    <col min="13578" max="13825" width="9.140625" style="7"/>
    <col min="13826" max="13826" width="3" style="7" customWidth="1"/>
    <col min="13827" max="13827" width="28.85546875" style="7" customWidth="1"/>
    <col min="13828" max="13828" width="14" style="7" customWidth="1"/>
    <col min="13829" max="13829" width="4.140625" style="7" customWidth="1"/>
    <col min="13830" max="13830" width="25.42578125" style="7" customWidth="1"/>
    <col min="13831" max="13831" width="13.140625" style="7" customWidth="1"/>
    <col min="13832" max="13832" width="13.85546875" style="7" customWidth="1"/>
    <col min="13833" max="13833" width="0" style="7" hidden="1" customWidth="1"/>
    <col min="13834" max="14081" width="9.140625" style="7"/>
    <col min="14082" max="14082" width="3" style="7" customWidth="1"/>
    <col min="14083" max="14083" width="28.85546875" style="7" customWidth="1"/>
    <col min="14084" max="14084" width="14" style="7" customWidth="1"/>
    <col min="14085" max="14085" width="4.140625" style="7" customWidth="1"/>
    <col min="14086" max="14086" width="25.42578125" style="7" customWidth="1"/>
    <col min="14087" max="14087" width="13.140625" style="7" customWidth="1"/>
    <col min="14088" max="14088" width="13.85546875" style="7" customWidth="1"/>
    <col min="14089" max="14089" width="0" style="7" hidden="1" customWidth="1"/>
    <col min="14090" max="14337" width="9.140625" style="7"/>
    <col min="14338" max="14338" width="3" style="7" customWidth="1"/>
    <col min="14339" max="14339" width="28.85546875" style="7" customWidth="1"/>
    <col min="14340" max="14340" width="14" style="7" customWidth="1"/>
    <col min="14341" max="14341" width="4.140625" style="7" customWidth="1"/>
    <col min="14342" max="14342" width="25.42578125" style="7" customWidth="1"/>
    <col min="14343" max="14343" width="13.140625" style="7" customWidth="1"/>
    <col min="14344" max="14344" width="13.85546875" style="7" customWidth="1"/>
    <col min="14345" max="14345" width="0" style="7" hidden="1" customWidth="1"/>
    <col min="14346" max="14593" width="9.140625" style="7"/>
    <col min="14594" max="14594" width="3" style="7" customWidth="1"/>
    <col min="14595" max="14595" width="28.85546875" style="7" customWidth="1"/>
    <col min="14596" max="14596" width="14" style="7" customWidth="1"/>
    <col min="14597" max="14597" width="4.140625" style="7" customWidth="1"/>
    <col min="14598" max="14598" width="25.42578125" style="7" customWidth="1"/>
    <col min="14599" max="14599" width="13.140625" style="7" customWidth="1"/>
    <col min="14600" max="14600" width="13.85546875" style="7" customWidth="1"/>
    <col min="14601" max="14601" width="0" style="7" hidden="1" customWidth="1"/>
    <col min="14602" max="14849" width="9.140625" style="7"/>
    <col min="14850" max="14850" width="3" style="7" customWidth="1"/>
    <col min="14851" max="14851" width="28.85546875" style="7" customWidth="1"/>
    <col min="14852" max="14852" width="14" style="7" customWidth="1"/>
    <col min="14853" max="14853" width="4.140625" style="7" customWidth="1"/>
    <col min="14854" max="14854" width="25.42578125" style="7" customWidth="1"/>
    <col min="14855" max="14855" width="13.140625" style="7" customWidth="1"/>
    <col min="14856" max="14856" width="13.85546875" style="7" customWidth="1"/>
    <col min="14857" max="14857" width="0" style="7" hidden="1" customWidth="1"/>
    <col min="14858" max="15105" width="9.140625" style="7"/>
    <col min="15106" max="15106" width="3" style="7" customWidth="1"/>
    <col min="15107" max="15107" width="28.85546875" style="7" customWidth="1"/>
    <col min="15108" max="15108" width="14" style="7" customWidth="1"/>
    <col min="15109" max="15109" width="4.140625" style="7" customWidth="1"/>
    <col min="15110" max="15110" width="25.42578125" style="7" customWidth="1"/>
    <col min="15111" max="15111" width="13.140625" style="7" customWidth="1"/>
    <col min="15112" max="15112" width="13.85546875" style="7" customWidth="1"/>
    <col min="15113" max="15113" width="0" style="7" hidden="1" customWidth="1"/>
    <col min="15114" max="15361" width="9.140625" style="7"/>
    <col min="15362" max="15362" width="3" style="7" customWidth="1"/>
    <col min="15363" max="15363" width="28.85546875" style="7" customWidth="1"/>
    <col min="15364" max="15364" width="14" style="7" customWidth="1"/>
    <col min="15365" max="15365" width="4.140625" style="7" customWidth="1"/>
    <col min="15366" max="15366" width="25.42578125" style="7" customWidth="1"/>
    <col min="15367" max="15367" width="13.140625" style="7" customWidth="1"/>
    <col min="15368" max="15368" width="13.85546875" style="7" customWidth="1"/>
    <col min="15369" max="15369" width="0" style="7" hidden="1" customWidth="1"/>
    <col min="15370" max="15617" width="9.140625" style="7"/>
    <col min="15618" max="15618" width="3" style="7" customWidth="1"/>
    <col min="15619" max="15619" width="28.85546875" style="7" customWidth="1"/>
    <col min="15620" max="15620" width="14" style="7" customWidth="1"/>
    <col min="15621" max="15621" width="4.140625" style="7" customWidth="1"/>
    <col min="15622" max="15622" width="25.42578125" style="7" customWidth="1"/>
    <col min="15623" max="15623" width="13.140625" style="7" customWidth="1"/>
    <col min="15624" max="15624" width="13.85546875" style="7" customWidth="1"/>
    <col min="15625" max="15625" width="0" style="7" hidden="1" customWidth="1"/>
    <col min="15626" max="15873" width="9.140625" style="7"/>
    <col min="15874" max="15874" width="3" style="7" customWidth="1"/>
    <col min="15875" max="15875" width="28.85546875" style="7" customWidth="1"/>
    <col min="15876" max="15876" width="14" style="7" customWidth="1"/>
    <col min="15877" max="15877" width="4.140625" style="7" customWidth="1"/>
    <col min="15878" max="15878" width="25.42578125" style="7" customWidth="1"/>
    <col min="15879" max="15879" width="13.140625" style="7" customWidth="1"/>
    <col min="15880" max="15880" width="13.85546875" style="7" customWidth="1"/>
    <col min="15881" max="15881" width="0" style="7" hidden="1" customWidth="1"/>
    <col min="15882" max="16129" width="9.140625" style="7"/>
    <col min="16130" max="16130" width="3" style="7" customWidth="1"/>
    <col min="16131" max="16131" width="28.85546875" style="7" customWidth="1"/>
    <col min="16132" max="16132" width="14" style="7" customWidth="1"/>
    <col min="16133" max="16133" width="4.140625" style="7" customWidth="1"/>
    <col min="16134" max="16134" width="25.42578125" style="7" customWidth="1"/>
    <col min="16135" max="16135" width="13.140625" style="7" customWidth="1"/>
    <col min="16136" max="16136" width="13.85546875" style="7" customWidth="1"/>
    <col min="16137" max="16137" width="0" style="7" hidden="1" customWidth="1"/>
    <col min="16138" max="16384" width="9.140625" style="7"/>
  </cols>
  <sheetData>
    <row r="1" spans="2:17" ht="24" customHeight="1" x14ac:dyDescent="0.2">
      <c r="B1" s="391" t="s">
        <v>143</v>
      </c>
      <c r="C1" s="392"/>
      <c r="D1" s="392"/>
      <c r="E1" s="392"/>
      <c r="F1" s="392"/>
      <c r="G1" s="392"/>
      <c r="H1" s="392"/>
    </row>
    <row r="2" spans="2:17" ht="12.75" customHeight="1" x14ac:dyDescent="0.2">
      <c r="B2" s="351" t="s">
        <v>144</v>
      </c>
      <c r="C2" s="393"/>
      <c r="D2" s="352"/>
      <c r="E2" s="351" t="s">
        <v>145</v>
      </c>
      <c r="F2" s="393"/>
      <c r="G2" s="352"/>
      <c r="H2" s="11"/>
      <c r="Q2" s="7" t="s">
        <v>148</v>
      </c>
    </row>
    <row r="3" spans="2:17" ht="12.75" customHeight="1" x14ac:dyDescent="0.2">
      <c r="B3" s="394" t="s">
        <v>334</v>
      </c>
      <c r="C3" s="395"/>
      <c r="D3" s="396"/>
      <c r="E3" s="394" t="s">
        <v>322</v>
      </c>
      <c r="F3" s="395"/>
      <c r="G3" s="396"/>
      <c r="H3" s="12"/>
      <c r="Q3" s="7">
        <v>17</v>
      </c>
    </row>
    <row r="4" spans="2:17" ht="12.75" customHeight="1" x14ac:dyDescent="0.2">
      <c r="B4" s="389" t="s">
        <v>23</v>
      </c>
      <c r="C4" s="390"/>
      <c r="D4" s="11" t="s">
        <v>28</v>
      </c>
      <c r="E4" s="389" t="s">
        <v>23</v>
      </c>
      <c r="F4" s="390"/>
      <c r="G4" s="11" t="s">
        <v>28</v>
      </c>
      <c r="H4" s="11" t="s">
        <v>146</v>
      </c>
      <c r="Q4" s="7">
        <v>32</v>
      </c>
    </row>
    <row r="5" spans="2:17" ht="12.75" customHeight="1" x14ac:dyDescent="0.2">
      <c r="B5" s="336" t="s">
        <v>29</v>
      </c>
      <c r="C5" s="337"/>
      <c r="D5" s="12" t="s">
        <v>26</v>
      </c>
      <c r="E5" s="336" t="s">
        <v>29</v>
      </c>
      <c r="F5" s="337"/>
      <c r="G5" s="12" t="s">
        <v>26</v>
      </c>
      <c r="H5" s="12"/>
    </row>
    <row r="6" spans="2:17" x14ac:dyDescent="0.2">
      <c r="B6" s="13">
        <v>1</v>
      </c>
      <c r="C6" s="16" t="s">
        <v>306</v>
      </c>
      <c r="D6" s="27">
        <v>0.28867513459481292</v>
      </c>
      <c r="E6" s="13">
        <v>1</v>
      </c>
      <c r="F6" s="16" t="s">
        <v>306</v>
      </c>
      <c r="G6" s="27">
        <v>2.8867513459481293E-5</v>
      </c>
      <c r="H6" s="28">
        <v>0</v>
      </c>
      <c r="I6" s="6">
        <f>IF(ISERROR( D6*G6*H6 ), 0,  D6*G6*H6 )</f>
        <v>0</v>
      </c>
    </row>
    <row r="7" spans="2:17" x14ac:dyDescent="0.2">
      <c r="B7" s="15">
        <v>2</v>
      </c>
      <c r="C7" s="29" t="s">
        <v>307</v>
      </c>
      <c r="D7" s="27">
        <v>0.28867513459481292</v>
      </c>
      <c r="E7" s="15">
        <v>2</v>
      </c>
      <c r="F7" s="29" t="s">
        <v>307</v>
      </c>
      <c r="G7" s="27">
        <v>2.8867513459481293E-5</v>
      </c>
      <c r="H7" s="28">
        <v>0</v>
      </c>
      <c r="I7" s="6">
        <f t="shared" ref="I7:I20" si="0">IF(ISERROR( D7*G7*H7 ), 0,  D7*G7*H7 )</f>
        <v>0</v>
      </c>
    </row>
    <row r="8" spans="2:17" x14ac:dyDescent="0.2">
      <c r="B8" s="15">
        <v>3</v>
      </c>
      <c r="C8" s="29" t="s">
        <v>323</v>
      </c>
      <c r="D8" s="27">
        <v>0.34641016151377552</v>
      </c>
      <c r="E8" s="15">
        <v>3</v>
      </c>
      <c r="F8" s="29" t="s">
        <v>323</v>
      </c>
      <c r="G8" s="27">
        <v>3.4641016151377548E-3</v>
      </c>
      <c r="H8" s="28">
        <v>0</v>
      </c>
      <c r="I8" s="6">
        <f t="shared" si="0"/>
        <v>0</v>
      </c>
    </row>
    <row r="9" spans="2:17" x14ac:dyDescent="0.2">
      <c r="B9" s="15">
        <v>4</v>
      </c>
      <c r="C9" s="29" t="s">
        <v>335</v>
      </c>
      <c r="D9" s="27">
        <v>8.6602540378443879E-2</v>
      </c>
      <c r="E9" s="15">
        <v>4</v>
      </c>
      <c r="F9" s="29" t="s">
        <v>324</v>
      </c>
      <c r="G9" s="27">
        <v>1.1547005383792516E-3</v>
      </c>
      <c r="H9" s="28">
        <v>0</v>
      </c>
      <c r="I9" s="6">
        <f t="shared" si="0"/>
        <v>0</v>
      </c>
    </row>
    <row r="10" spans="2:17" x14ac:dyDescent="0.2">
      <c r="B10" s="15">
        <v>5</v>
      </c>
      <c r="C10" s="29"/>
      <c r="D10" s="27" t="s">
        <v>2</v>
      </c>
      <c r="E10" s="15">
        <v>5</v>
      </c>
      <c r="F10" s="29"/>
      <c r="G10" s="27" t="s">
        <v>2</v>
      </c>
      <c r="H10" s="28"/>
      <c r="I10" s="6">
        <f t="shared" si="0"/>
        <v>0</v>
      </c>
    </row>
    <row r="11" spans="2:17" x14ac:dyDescent="0.2">
      <c r="B11" s="15">
        <v>6</v>
      </c>
      <c r="C11" s="29"/>
      <c r="D11" s="27" t="s">
        <v>2</v>
      </c>
      <c r="E11" s="15">
        <v>6</v>
      </c>
      <c r="F11" s="29"/>
      <c r="G11" s="27" t="s">
        <v>2</v>
      </c>
      <c r="H11" s="28"/>
      <c r="I11" s="6">
        <f t="shared" si="0"/>
        <v>0</v>
      </c>
    </row>
    <row r="12" spans="2:17" x14ac:dyDescent="0.2">
      <c r="B12" s="15">
        <v>7</v>
      </c>
      <c r="C12" s="29"/>
      <c r="D12" s="27" t="s">
        <v>2</v>
      </c>
      <c r="E12" s="15">
        <v>7</v>
      </c>
      <c r="F12" s="29"/>
      <c r="G12" s="27" t="s">
        <v>2</v>
      </c>
      <c r="H12" s="28"/>
      <c r="I12" s="6">
        <f t="shared" si="0"/>
        <v>0</v>
      </c>
    </row>
    <row r="13" spans="2:17" x14ac:dyDescent="0.2">
      <c r="B13" s="15">
        <v>8</v>
      </c>
      <c r="C13" s="29"/>
      <c r="D13" s="27" t="s">
        <v>2</v>
      </c>
      <c r="E13" s="15">
        <v>8</v>
      </c>
      <c r="F13" s="29"/>
      <c r="G13" s="27" t="s">
        <v>2</v>
      </c>
      <c r="H13" s="28"/>
      <c r="I13" s="6">
        <f t="shared" si="0"/>
        <v>0</v>
      </c>
    </row>
    <row r="14" spans="2:17" x14ac:dyDescent="0.2">
      <c r="B14" s="15">
        <v>9</v>
      </c>
      <c r="C14" s="29"/>
      <c r="D14" s="27" t="s">
        <v>2</v>
      </c>
      <c r="E14" s="15">
        <v>9</v>
      </c>
      <c r="F14" s="29"/>
      <c r="G14" s="27" t="s">
        <v>2</v>
      </c>
      <c r="H14" s="28"/>
      <c r="I14" s="6">
        <f t="shared" si="0"/>
        <v>0</v>
      </c>
    </row>
    <row r="15" spans="2:17" x14ac:dyDescent="0.2">
      <c r="B15" s="15">
        <v>10</v>
      </c>
      <c r="C15" s="29"/>
      <c r="D15" s="27" t="s">
        <v>2</v>
      </c>
      <c r="E15" s="15">
        <v>10</v>
      </c>
      <c r="F15" s="29"/>
      <c r="G15" s="27" t="s">
        <v>2</v>
      </c>
      <c r="H15" s="28"/>
      <c r="I15" s="6">
        <f t="shared" si="0"/>
        <v>0</v>
      </c>
    </row>
    <row r="16" spans="2:17" x14ac:dyDescent="0.2">
      <c r="B16" s="15">
        <v>11</v>
      </c>
      <c r="C16" s="29"/>
      <c r="D16" s="27" t="s">
        <v>2</v>
      </c>
      <c r="E16" s="15">
        <v>11</v>
      </c>
      <c r="F16" s="29"/>
      <c r="G16" s="27" t="s">
        <v>2</v>
      </c>
      <c r="H16" s="28"/>
      <c r="I16" s="6">
        <f t="shared" si="0"/>
        <v>0</v>
      </c>
    </row>
    <row r="17" spans="2:9" x14ac:dyDescent="0.2">
      <c r="B17" s="15">
        <v>12</v>
      </c>
      <c r="C17" s="29"/>
      <c r="D17" s="27" t="s">
        <v>2</v>
      </c>
      <c r="E17" s="15">
        <v>12</v>
      </c>
      <c r="F17" s="29"/>
      <c r="G17" s="27" t="s">
        <v>2</v>
      </c>
      <c r="H17" s="28"/>
      <c r="I17" s="6">
        <f t="shared" si="0"/>
        <v>0</v>
      </c>
    </row>
    <row r="18" spans="2:9" x14ac:dyDescent="0.2">
      <c r="B18" s="15">
        <v>13</v>
      </c>
      <c r="C18" s="29"/>
      <c r="D18" s="27" t="s">
        <v>2</v>
      </c>
      <c r="E18" s="15">
        <v>13</v>
      </c>
      <c r="F18" s="29"/>
      <c r="G18" s="27" t="s">
        <v>2</v>
      </c>
      <c r="H18" s="28"/>
      <c r="I18" s="6">
        <f t="shared" si="0"/>
        <v>0</v>
      </c>
    </row>
    <row r="19" spans="2:9" x14ac:dyDescent="0.2">
      <c r="B19" s="15">
        <v>14</v>
      </c>
      <c r="C19" s="29"/>
      <c r="D19" s="27" t="s">
        <v>2</v>
      </c>
      <c r="E19" s="15">
        <v>14</v>
      </c>
      <c r="F19" s="29"/>
      <c r="G19" s="27" t="s">
        <v>2</v>
      </c>
      <c r="H19" s="28"/>
      <c r="I19" s="6">
        <f t="shared" si="0"/>
        <v>0</v>
      </c>
    </row>
    <row r="20" spans="2:9" x14ac:dyDescent="0.2">
      <c r="B20" s="15">
        <v>15</v>
      </c>
      <c r="C20" s="29"/>
      <c r="D20" s="27" t="s">
        <v>2</v>
      </c>
      <c r="E20" s="15">
        <v>15</v>
      </c>
      <c r="F20" s="29"/>
      <c r="G20" s="27" t="s">
        <v>2</v>
      </c>
      <c r="H20" s="28"/>
      <c r="I20" s="6">
        <f t="shared" si="0"/>
        <v>0</v>
      </c>
    </row>
    <row r="21" spans="2:9" x14ac:dyDescent="0.2">
      <c r="B21" s="384" t="s">
        <v>35</v>
      </c>
      <c r="C21" s="385"/>
      <c r="D21" s="30">
        <f>SQRT(SUMSQ(D6:D20))</f>
        <v>0.54237133650909941</v>
      </c>
      <c r="E21" s="384" t="s">
        <v>35</v>
      </c>
      <c r="F21" s="385"/>
      <c r="G21" s="30">
        <f>SQRT(SUMSQ(G6:G20))</f>
        <v>3.6517119273020431E-3</v>
      </c>
      <c r="H21" s="31"/>
    </row>
    <row r="22" spans="2:9" x14ac:dyDescent="0.2">
      <c r="B22" s="386" t="s">
        <v>147</v>
      </c>
      <c r="C22" s="387"/>
      <c r="D22" s="387"/>
      <c r="E22" s="387"/>
      <c r="F22" s="387"/>
      <c r="G22" s="388"/>
      <c r="H22" s="32">
        <f>IF(ISERROR( SUM(I6:I20) / (D21*G21) ), 0,  SUM(I6:I20) / (D21*G21) )</f>
        <v>0</v>
      </c>
    </row>
  </sheetData>
  <sheetProtection sheet="1" objects="1" scenarios="1" formatCells="0" formatColumns="0" formatRows="0" sort="0" autoFilter="0"/>
  <mergeCells count="12">
    <mergeCell ref="B4:C4"/>
    <mergeCell ref="E4:F4"/>
    <mergeCell ref="B1:H1"/>
    <mergeCell ref="B2:D2"/>
    <mergeCell ref="E2:G2"/>
    <mergeCell ref="B3:D3"/>
    <mergeCell ref="E3:G3"/>
    <mergeCell ref="B5:C5"/>
    <mergeCell ref="E5:F5"/>
    <mergeCell ref="B21:C21"/>
    <mergeCell ref="E21:F21"/>
    <mergeCell ref="B22:G22"/>
  </mergeCells>
  <printOptions horizontalCentered="1"/>
  <pageMargins left="0.75" right="0.75" top="1" bottom="1" header="0.5" footer="0.5"/>
  <pageSetup scale="8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780" r:id="rId4" name="btnUncReturn">
              <controlPr defaultSize="0" print="0" autoFill="0" autoPict="0" macro="[0]!VarCorrelation.btnCorReturn_click">
                <anchor>
                  <from>
                    <xdr:col>0</xdr:col>
                    <xdr:colOff>295275</xdr:colOff>
                    <xdr:row>0</xdr:row>
                    <xdr:rowOff>76200</xdr:rowOff>
                  </from>
                  <to>
                    <xdr:col>0</xdr:col>
                    <xdr:colOff>1266825</xdr:colOff>
                    <xdr:row>2</xdr:row>
                    <xdr:rowOff>9525</xdr:rowOff>
                  </to>
                </anchor>
              </controlPr>
            </control>
          </mc:Choice>
        </mc:AlternateContent>
        <mc:AlternateContent xmlns:mc="http://schemas.openxmlformats.org/markup-compatibility/2006">
          <mc:Choice Requires="x14">
            <control shapeId="75781" r:id="rId5" name="btnClear">
              <controlPr defaultSize="0" print="0" autoFill="0" autoPict="0" macro="[0]!VarCorrelation.btnClear_Click">
                <anchor>
                  <from>
                    <xdr:col>0</xdr:col>
                    <xdr:colOff>295275</xdr:colOff>
                    <xdr:row>2</xdr:row>
                    <xdr:rowOff>38100</xdr:rowOff>
                  </from>
                  <to>
                    <xdr:col>0</xdr:col>
                    <xdr:colOff>1266825</xdr:colOff>
                    <xdr:row>4</xdr:row>
                    <xdr:rowOff>114300</xdr:rowOff>
                  </to>
                </anchor>
              </controlPr>
            </control>
          </mc:Choice>
        </mc:AlternateContent>
        <mc:AlternateContent xmlns:mc="http://schemas.openxmlformats.org/markup-compatibility/2006">
          <mc:Choice Requires="x14">
            <control shapeId="75782" r:id="rId6" name="btnCancel">
              <controlPr defaultSize="0" print="0" autoFill="0" autoPict="0" macro="[0]!VarCorrelation.btnCancel_click">
                <anchor>
                  <from>
                    <xdr:col>0</xdr:col>
                    <xdr:colOff>295275</xdr:colOff>
                    <xdr:row>4</xdr:row>
                    <xdr:rowOff>142875</xdr:rowOff>
                  </from>
                  <to>
                    <xdr:col>0</xdr:col>
                    <xdr:colOff>1266825</xdr:colOff>
                    <xdr:row>7</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Repeatability">
    <pageSetUpPr fitToPage="1"/>
  </sheetPr>
  <dimension ref="A1:G43"/>
  <sheetViews>
    <sheetView showGridLines="0" workbookViewId="0">
      <pane xSplit="1" topLeftCell="B1" activePane="topRight" state="frozen"/>
      <selection activeCell="C17" sqref="C17"/>
      <selection pane="topRight" activeCell="C4" sqref="C4:C18"/>
    </sheetView>
  </sheetViews>
  <sheetFormatPr defaultColWidth="9.140625" defaultRowHeight="12.75" x14ac:dyDescent="0.2"/>
  <cols>
    <col min="1" max="1" width="16" customWidth="1"/>
    <col min="2" max="2" width="3" style="59" customWidth="1"/>
    <col min="3" max="3" width="26.42578125" style="59" customWidth="1"/>
    <col min="4" max="4" width="24.5703125" style="59" customWidth="1"/>
    <col min="5" max="5" width="46.5703125" style="59" customWidth="1"/>
    <col min="6" max="6" width="13.85546875" customWidth="1"/>
    <col min="7" max="7" width="9.140625" style="58" hidden="1" customWidth="1"/>
    <col min="8" max="250" width="9.140625" style="59"/>
    <col min="251" max="251" width="3" style="59" customWidth="1"/>
    <col min="252" max="252" width="28.85546875" style="59" customWidth="1"/>
    <col min="253" max="253" width="14" style="59" customWidth="1"/>
    <col min="254" max="254" width="24.42578125" style="59" customWidth="1"/>
    <col min="255" max="256" width="11" style="59" customWidth="1"/>
    <col min="257" max="257" width="13.85546875" style="59" customWidth="1"/>
    <col min="258" max="262" width="0" style="59" hidden="1" customWidth="1"/>
    <col min="263" max="506" width="9.140625" style="59"/>
    <col min="507" max="507" width="3" style="59" customWidth="1"/>
    <col min="508" max="508" width="28.85546875" style="59" customWidth="1"/>
    <col min="509" max="509" width="14" style="59" customWidth="1"/>
    <col min="510" max="510" width="24.42578125" style="59" customWidth="1"/>
    <col min="511" max="512" width="11" style="59" customWidth="1"/>
    <col min="513" max="513" width="13.85546875" style="59" customWidth="1"/>
    <col min="514" max="518" width="0" style="59" hidden="1" customWidth="1"/>
    <col min="519" max="762" width="9.140625" style="59"/>
    <col min="763" max="763" width="3" style="59" customWidth="1"/>
    <col min="764" max="764" width="28.85546875" style="59" customWidth="1"/>
    <col min="765" max="765" width="14" style="59" customWidth="1"/>
    <col min="766" max="766" width="24.42578125" style="59" customWidth="1"/>
    <col min="767" max="768" width="11" style="59" customWidth="1"/>
    <col min="769" max="769" width="13.85546875" style="59" customWidth="1"/>
    <col min="770" max="774" width="0" style="59" hidden="1" customWidth="1"/>
    <col min="775" max="1018" width="9.140625" style="59"/>
    <col min="1019" max="1019" width="3" style="59" customWidth="1"/>
    <col min="1020" max="1020" width="28.85546875" style="59" customWidth="1"/>
    <col min="1021" max="1021" width="14" style="59" customWidth="1"/>
    <col min="1022" max="1022" width="24.42578125" style="59" customWidth="1"/>
    <col min="1023" max="1024" width="11" style="59" customWidth="1"/>
    <col min="1025" max="1025" width="13.85546875" style="59" customWidth="1"/>
    <col min="1026" max="1030" width="0" style="59" hidden="1" customWidth="1"/>
    <col min="1031" max="1274" width="9.140625" style="59"/>
    <col min="1275" max="1275" width="3" style="59" customWidth="1"/>
    <col min="1276" max="1276" width="28.85546875" style="59" customWidth="1"/>
    <col min="1277" max="1277" width="14" style="59" customWidth="1"/>
    <col min="1278" max="1278" width="24.42578125" style="59" customWidth="1"/>
    <col min="1279" max="1280" width="11" style="59" customWidth="1"/>
    <col min="1281" max="1281" width="13.85546875" style="59" customWidth="1"/>
    <col min="1282" max="1286" width="0" style="59" hidden="1" customWidth="1"/>
    <col min="1287" max="1530" width="9.140625" style="59"/>
    <col min="1531" max="1531" width="3" style="59" customWidth="1"/>
    <col min="1532" max="1532" width="28.85546875" style="59" customWidth="1"/>
    <col min="1533" max="1533" width="14" style="59" customWidth="1"/>
    <col min="1534" max="1534" width="24.42578125" style="59" customWidth="1"/>
    <col min="1535" max="1536" width="11" style="59" customWidth="1"/>
    <col min="1537" max="1537" width="13.85546875" style="59" customWidth="1"/>
    <col min="1538" max="1542" width="0" style="59" hidden="1" customWidth="1"/>
    <col min="1543" max="1786" width="9.140625" style="59"/>
    <col min="1787" max="1787" width="3" style="59" customWidth="1"/>
    <col min="1788" max="1788" width="28.85546875" style="59" customWidth="1"/>
    <col min="1789" max="1789" width="14" style="59" customWidth="1"/>
    <col min="1790" max="1790" width="24.42578125" style="59" customWidth="1"/>
    <col min="1791" max="1792" width="11" style="59" customWidth="1"/>
    <col min="1793" max="1793" width="13.85546875" style="59" customWidth="1"/>
    <col min="1794" max="1798" width="0" style="59" hidden="1" customWidth="1"/>
    <col min="1799" max="2042" width="9.140625" style="59"/>
    <col min="2043" max="2043" width="3" style="59" customWidth="1"/>
    <col min="2044" max="2044" width="28.85546875" style="59" customWidth="1"/>
    <col min="2045" max="2045" width="14" style="59" customWidth="1"/>
    <col min="2046" max="2046" width="24.42578125" style="59" customWidth="1"/>
    <col min="2047" max="2048" width="11" style="59" customWidth="1"/>
    <col min="2049" max="2049" width="13.85546875" style="59" customWidth="1"/>
    <col min="2050" max="2054" width="0" style="59" hidden="1" customWidth="1"/>
    <col min="2055" max="2298" width="9.140625" style="59"/>
    <col min="2299" max="2299" width="3" style="59" customWidth="1"/>
    <col min="2300" max="2300" width="28.85546875" style="59" customWidth="1"/>
    <col min="2301" max="2301" width="14" style="59" customWidth="1"/>
    <col min="2302" max="2302" width="24.42578125" style="59" customWidth="1"/>
    <col min="2303" max="2304" width="11" style="59" customWidth="1"/>
    <col min="2305" max="2305" width="13.85546875" style="59" customWidth="1"/>
    <col min="2306" max="2310" width="0" style="59" hidden="1" customWidth="1"/>
    <col min="2311" max="2554" width="9.140625" style="59"/>
    <col min="2555" max="2555" width="3" style="59" customWidth="1"/>
    <col min="2556" max="2556" width="28.85546875" style="59" customWidth="1"/>
    <col min="2557" max="2557" width="14" style="59" customWidth="1"/>
    <col min="2558" max="2558" width="24.42578125" style="59" customWidth="1"/>
    <col min="2559" max="2560" width="11" style="59" customWidth="1"/>
    <col min="2561" max="2561" width="13.85546875" style="59" customWidth="1"/>
    <col min="2562" max="2566" width="0" style="59" hidden="1" customWidth="1"/>
    <col min="2567" max="2810" width="9.140625" style="59"/>
    <col min="2811" max="2811" width="3" style="59" customWidth="1"/>
    <col min="2812" max="2812" width="28.85546875" style="59" customWidth="1"/>
    <col min="2813" max="2813" width="14" style="59" customWidth="1"/>
    <col min="2814" max="2814" width="24.42578125" style="59" customWidth="1"/>
    <col min="2815" max="2816" width="11" style="59" customWidth="1"/>
    <col min="2817" max="2817" width="13.85546875" style="59" customWidth="1"/>
    <col min="2818" max="2822" width="0" style="59" hidden="1" customWidth="1"/>
    <col min="2823" max="3066" width="9.140625" style="59"/>
    <col min="3067" max="3067" width="3" style="59" customWidth="1"/>
    <col min="3068" max="3068" width="28.85546875" style="59" customWidth="1"/>
    <col min="3069" max="3069" width="14" style="59" customWidth="1"/>
    <col min="3070" max="3070" width="24.42578125" style="59" customWidth="1"/>
    <col min="3071" max="3072" width="11" style="59" customWidth="1"/>
    <col min="3073" max="3073" width="13.85546875" style="59" customWidth="1"/>
    <col min="3074" max="3078" width="0" style="59" hidden="1" customWidth="1"/>
    <col min="3079" max="3322" width="9.140625" style="59"/>
    <col min="3323" max="3323" width="3" style="59" customWidth="1"/>
    <col min="3324" max="3324" width="28.85546875" style="59" customWidth="1"/>
    <col min="3325" max="3325" width="14" style="59" customWidth="1"/>
    <col min="3326" max="3326" width="24.42578125" style="59" customWidth="1"/>
    <col min="3327" max="3328" width="11" style="59" customWidth="1"/>
    <col min="3329" max="3329" width="13.85546875" style="59" customWidth="1"/>
    <col min="3330" max="3334" width="0" style="59" hidden="1" customWidth="1"/>
    <col min="3335" max="3578" width="9.140625" style="59"/>
    <col min="3579" max="3579" width="3" style="59" customWidth="1"/>
    <col min="3580" max="3580" width="28.85546875" style="59" customWidth="1"/>
    <col min="3581" max="3581" width="14" style="59" customWidth="1"/>
    <col min="3582" max="3582" width="24.42578125" style="59" customWidth="1"/>
    <col min="3583" max="3584" width="11" style="59" customWidth="1"/>
    <col min="3585" max="3585" width="13.85546875" style="59" customWidth="1"/>
    <col min="3586" max="3590" width="0" style="59" hidden="1" customWidth="1"/>
    <col min="3591" max="3834" width="9.140625" style="59"/>
    <col min="3835" max="3835" width="3" style="59" customWidth="1"/>
    <col min="3836" max="3836" width="28.85546875" style="59" customWidth="1"/>
    <col min="3837" max="3837" width="14" style="59" customWidth="1"/>
    <col min="3838" max="3838" width="24.42578125" style="59" customWidth="1"/>
    <col min="3839" max="3840" width="11" style="59" customWidth="1"/>
    <col min="3841" max="3841" width="13.85546875" style="59" customWidth="1"/>
    <col min="3842" max="3846" width="0" style="59" hidden="1" customWidth="1"/>
    <col min="3847" max="4090" width="9.140625" style="59"/>
    <col min="4091" max="4091" width="3" style="59" customWidth="1"/>
    <col min="4092" max="4092" width="28.85546875" style="59" customWidth="1"/>
    <col min="4093" max="4093" width="14" style="59" customWidth="1"/>
    <col min="4094" max="4094" width="24.42578125" style="59" customWidth="1"/>
    <col min="4095" max="4096" width="11" style="59" customWidth="1"/>
    <col min="4097" max="4097" width="13.85546875" style="59" customWidth="1"/>
    <col min="4098" max="4102" width="0" style="59" hidden="1" customWidth="1"/>
    <col min="4103" max="4346" width="9.140625" style="59"/>
    <col min="4347" max="4347" width="3" style="59" customWidth="1"/>
    <col min="4348" max="4348" width="28.85546875" style="59" customWidth="1"/>
    <col min="4349" max="4349" width="14" style="59" customWidth="1"/>
    <col min="4350" max="4350" width="24.42578125" style="59" customWidth="1"/>
    <col min="4351" max="4352" width="11" style="59" customWidth="1"/>
    <col min="4353" max="4353" width="13.85546875" style="59" customWidth="1"/>
    <col min="4354" max="4358" width="0" style="59" hidden="1" customWidth="1"/>
    <col min="4359" max="4602" width="9.140625" style="59"/>
    <col min="4603" max="4603" width="3" style="59" customWidth="1"/>
    <col min="4604" max="4604" width="28.85546875" style="59" customWidth="1"/>
    <col min="4605" max="4605" width="14" style="59" customWidth="1"/>
    <col min="4606" max="4606" width="24.42578125" style="59" customWidth="1"/>
    <col min="4607" max="4608" width="11" style="59" customWidth="1"/>
    <col min="4609" max="4609" width="13.85546875" style="59" customWidth="1"/>
    <col min="4610" max="4614" width="0" style="59" hidden="1" customWidth="1"/>
    <col min="4615" max="4858" width="9.140625" style="59"/>
    <col min="4859" max="4859" width="3" style="59" customWidth="1"/>
    <col min="4860" max="4860" width="28.85546875" style="59" customWidth="1"/>
    <col min="4861" max="4861" width="14" style="59" customWidth="1"/>
    <col min="4862" max="4862" width="24.42578125" style="59" customWidth="1"/>
    <col min="4863" max="4864" width="11" style="59" customWidth="1"/>
    <col min="4865" max="4865" width="13.85546875" style="59" customWidth="1"/>
    <col min="4866" max="4870" width="0" style="59" hidden="1" customWidth="1"/>
    <col min="4871" max="5114" width="9.140625" style="59"/>
    <col min="5115" max="5115" width="3" style="59" customWidth="1"/>
    <col min="5116" max="5116" width="28.85546875" style="59" customWidth="1"/>
    <col min="5117" max="5117" width="14" style="59" customWidth="1"/>
    <col min="5118" max="5118" width="24.42578125" style="59" customWidth="1"/>
    <col min="5119" max="5120" width="11" style="59" customWidth="1"/>
    <col min="5121" max="5121" width="13.85546875" style="59" customWidth="1"/>
    <col min="5122" max="5126" width="0" style="59" hidden="1" customWidth="1"/>
    <col min="5127" max="5370" width="9.140625" style="59"/>
    <col min="5371" max="5371" width="3" style="59" customWidth="1"/>
    <col min="5372" max="5372" width="28.85546875" style="59" customWidth="1"/>
    <col min="5373" max="5373" width="14" style="59" customWidth="1"/>
    <col min="5374" max="5374" width="24.42578125" style="59" customWidth="1"/>
    <col min="5375" max="5376" width="11" style="59" customWidth="1"/>
    <col min="5377" max="5377" width="13.85546875" style="59" customWidth="1"/>
    <col min="5378" max="5382" width="0" style="59" hidden="1" customWidth="1"/>
    <col min="5383" max="5626" width="9.140625" style="59"/>
    <col min="5627" max="5627" width="3" style="59" customWidth="1"/>
    <col min="5628" max="5628" width="28.85546875" style="59" customWidth="1"/>
    <col min="5629" max="5629" width="14" style="59" customWidth="1"/>
    <col min="5630" max="5630" width="24.42578125" style="59" customWidth="1"/>
    <col min="5631" max="5632" width="11" style="59" customWidth="1"/>
    <col min="5633" max="5633" width="13.85546875" style="59" customWidth="1"/>
    <col min="5634" max="5638" width="0" style="59" hidden="1" customWidth="1"/>
    <col min="5639" max="5882" width="9.140625" style="59"/>
    <col min="5883" max="5883" width="3" style="59" customWidth="1"/>
    <col min="5884" max="5884" width="28.85546875" style="59" customWidth="1"/>
    <col min="5885" max="5885" width="14" style="59" customWidth="1"/>
    <col min="5886" max="5886" width="24.42578125" style="59" customWidth="1"/>
    <col min="5887" max="5888" width="11" style="59" customWidth="1"/>
    <col min="5889" max="5889" width="13.85546875" style="59" customWidth="1"/>
    <col min="5890" max="5894" width="0" style="59" hidden="1" customWidth="1"/>
    <col min="5895" max="6138" width="9.140625" style="59"/>
    <col min="6139" max="6139" width="3" style="59" customWidth="1"/>
    <col min="6140" max="6140" width="28.85546875" style="59" customWidth="1"/>
    <col min="6141" max="6141" width="14" style="59" customWidth="1"/>
    <col min="6142" max="6142" width="24.42578125" style="59" customWidth="1"/>
    <col min="6143" max="6144" width="11" style="59" customWidth="1"/>
    <col min="6145" max="6145" width="13.85546875" style="59" customWidth="1"/>
    <col min="6146" max="6150" width="0" style="59" hidden="1" customWidth="1"/>
    <col min="6151" max="6394" width="9.140625" style="59"/>
    <col min="6395" max="6395" width="3" style="59" customWidth="1"/>
    <col min="6396" max="6396" width="28.85546875" style="59" customWidth="1"/>
    <col min="6397" max="6397" width="14" style="59" customWidth="1"/>
    <col min="6398" max="6398" width="24.42578125" style="59" customWidth="1"/>
    <col min="6399" max="6400" width="11" style="59" customWidth="1"/>
    <col min="6401" max="6401" width="13.85546875" style="59" customWidth="1"/>
    <col min="6402" max="6406" width="0" style="59" hidden="1" customWidth="1"/>
    <col min="6407" max="6650" width="9.140625" style="59"/>
    <col min="6651" max="6651" width="3" style="59" customWidth="1"/>
    <col min="6652" max="6652" width="28.85546875" style="59" customWidth="1"/>
    <col min="6653" max="6653" width="14" style="59" customWidth="1"/>
    <col min="6654" max="6654" width="24.42578125" style="59" customWidth="1"/>
    <col min="6655" max="6656" width="11" style="59" customWidth="1"/>
    <col min="6657" max="6657" width="13.85546875" style="59" customWidth="1"/>
    <col min="6658" max="6662" width="0" style="59" hidden="1" customWidth="1"/>
    <col min="6663" max="6906" width="9.140625" style="59"/>
    <col min="6907" max="6907" width="3" style="59" customWidth="1"/>
    <col min="6908" max="6908" width="28.85546875" style="59" customWidth="1"/>
    <col min="6909" max="6909" width="14" style="59" customWidth="1"/>
    <col min="6910" max="6910" width="24.42578125" style="59" customWidth="1"/>
    <col min="6911" max="6912" width="11" style="59" customWidth="1"/>
    <col min="6913" max="6913" width="13.85546875" style="59" customWidth="1"/>
    <col min="6914" max="6918" width="0" style="59" hidden="1" customWidth="1"/>
    <col min="6919" max="7162" width="9.140625" style="59"/>
    <col min="7163" max="7163" width="3" style="59" customWidth="1"/>
    <col min="7164" max="7164" width="28.85546875" style="59" customWidth="1"/>
    <col min="7165" max="7165" width="14" style="59" customWidth="1"/>
    <col min="7166" max="7166" width="24.42578125" style="59" customWidth="1"/>
    <col min="7167" max="7168" width="11" style="59" customWidth="1"/>
    <col min="7169" max="7169" width="13.85546875" style="59" customWidth="1"/>
    <col min="7170" max="7174" width="0" style="59" hidden="1" customWidth="1"/>
    <col min="7175" max="7418" width="9.140625" style="59"/>
    <col min="7419" max="7419" width="3" style="59" customWidth="1"/>
    <col min="7420" max="7420" width="28.85546875" style="59" customWidth="1"/>
    <col min="7421" max="7421" width="14" style="59" customWidth="1"/>
    <col min="7422" max="7422" width="24.42578125" style="59" customWidth="1"/>
    <col min="7423" max="7424" width="11" style="59" customWidth="1"/>
    <col min="7425" max="7425" width="13.85546875" style="59" customWidth="1"/>
    <col min="7426" max="7430" width="0" style="59" hidden="1" customWidth="1"/>
    <col min="7431" max="7674" width="9.140625" style="59"/>
    <col min="7675" max="7675" width="3" style="59" customWidth="1"/>
    <col min="7676" max="7676" width="28.85546875" style="59" customWidth="1"/>
    <col min="7677" max="7677" width="14" style="59" customWidth="1"/>
    <col min="7678" max="7678" width="24.42578125" style="59" customWidth="1"/>
    <col min="7679" max="7680" width="11" style="59" customWidth="1"/>
    <col min="7681" max="7681" width="13.85546875" style="59" customWidth="1"/>
    <col min="7682" max="7686" width="0" style="59" hidden="1" customWidth="1"/>
    <col min="7687" max="7930" width="9.140625" style="59"/>
    <col min="7931" max="7931" width="3" style="59" customWidth="1"/>
    <col min="7932" max="7932" width="28.85546875" style="59" customWidth="1"/>
    <col min="7933" max="7933" width="14" style="59" customWidth="1"/>
    <col min="7934" max="7934" width="24.42578125" style="59" customWidth="1"/>
    <col min="7935" max="7936" width="11" style="59" customWidth="1"/>
    <col min="7937" max="7937" width="13.85546875" style="59" customWidth="1"/>
    <col min="7938" max="7942" width="0" style="59" hidden="1" customWidth="1"/>
    <col min="7943" max="8186" width="9.140625" style="59"/>
    <col min="8187" max="8187" width="3" style="59" customWidth="1"/>
    <col min="8188" max="8188" width="28.85546875" style="59" customWidth="1"/>
    <col min="8189" max="8189" width="14" style="59" customWidth="1"/>
    <col min="8190" max="8190" width="24.42578125" style="59" customWidth="1"/>
    <col min="8191" max="8192" width="11" style="59" customWidth="1"/>
    <col min="8193" max="8193" width="13.85546875" style="59" customWidth="1"/>
    <col min="8194" max="8198" width="0" style="59" hidden="1" customWidth="1"/>
    <col min="8199" max="8442" width="9.140625" style="59"/>
    <col min="8443" max="8443" width="3" style="59" customWidth="1"/>
    <col min="8444" max="8444" width="28.85546875" style="59" customWidth="1"/>
    <col min="8445" max="8445" width="14" style="59" customWidth="1"/>
    <col min="8446" max="8446" width="24.42578125" style="59" customWidth="1"/>
    <col min="8447" max="8448" width="11" style="59" customWidth="1"/>
    <col min="8449" max="8449" width="13.85546875" style="59" customWidth="1"/>
    <col min="8450" max="8454" width="0" style="59" hidden="1" customWidth="1"/>
    <col min="8455" max="8698" width="9.140625" style="59"/>
    <col min="8699" max="8699" width="3" style="59" customWidth="1"/>
    <col min="8700" max="8700" width="28.85546875" style="59" customWidth="1"/>
    <col min="8701" max="8701" width="14" style="59" customWidth="1"/>
    <col min="8702" max="8702" width="24.42578125" style="59" customWidth="1"/>
    <col min="8703" max="8704" width="11" style="59" customWidth="1"/>
    <col min="8705" max="8705" width="13.85546875" style="59" customWidth="1"/>
    <col min="8706" max="8710" width="0" style="59" hidden="1" customWidth="1"/>
    <col min="8711" max="8954" width="9.140625" style="59"/>
    <col min="8955" max="8955" width="3" style="59" customWidth="1"/>
    <col min="8956" max="8956" width="28.85546875" style="59" customWidth="1"/>
    <col min="8957" max="8957" width="14" style="59" customWidth="1"/>
    <col min="8958" max="8958" width="24.42578125" style="59" customWidth="1"/>
    <col min="8959" max="8960" width="11" style="59" customWidth="1"/>
    <col min="8961" max="8961" width="13.85546875" style="59" customWidth="1"/>
    <col min="8962" max="8966" width="0" style="59" hidden="1" customWidth="1"/>
    <col min="8967" max="9210" width="9.140625" style="59"/>
    <col min="9211" max="9211" width="3" style="59" customWidth="1"/>
    <col min="9212" max="9212" width="28.85546875" style="59" customWidth="1"/>
    <col min="9213" max="9213" width="14" style="59" customWidth="1"/>
    <col min="9214" max="9214" width="24.42578125" style="59" customWidth="1"/>
    <col min="9215" max="9216" width="11" style="59" customWidth="1"/>
    <col min="9217" max="9217" width="13.85546875" style="59" customWidth="1"/>
    <col min="9218" max="9222" width="0" style="59" hidden="1" customWidth="1"/>
    <col min="9223" max="9466" width="9.140625" style="59"/>
    <col min="9467" max="9467" width="3" style="59" customWidth="1"/>
    <col min="9468" max="9468" width="28.85546875" style="59" customWidth="1"/>
    <col min="9469" max="9469" width="14" style="59" customWidth="1"/>
    <col min="9470" max="9470" width="24.42578125" style="59" customWidth="1"/>
    <col min="9471" max="9472" width="11" style="59" customWidth="1"/>
    <col min="9473" max="9473" width="13.85546875" style="59" customWidth="1"/>
    <col min="9474" max="9478" width="0" style="59" hidden="1" customWidth="1"/>
    <col min="9479" max="9722" width="9.140625" style="59"/>
    <col min="9723" max="9723" width="3" style="59" customWidth="1"/>
    <col min="9724" max="9724" width="28.85546875" style="59" customWidth="1"/>
    <col min="9725" max="9725" width="14" style="59" customWidth="1"/>
    <col min="9726" max="9726" width="24.42578125" style="59" customWidth="1"/>
    <col min="9727" max="9728" width="11" style="59" customWidth="1"/>
    <col min="9729" max="9729" width="13.85546875" style="59" customWidth="1"/>
    <col min="9730" max="9734" width="0" style="59" hidden="1" customWidth="1"/>
    <col min="9735" max="9978" width="9.140625" style="59"/>
    <col min="9979" max="9979" width="3" style="59" customWidth="1"/>
    <col min="9980" max="9980" width="28.85546875" style="59" customWidth="1"/>
    <col min="9981" max="9981" width="14" style="59" customWidth="1"/>
    <col min="9982" max="9982" width="24.42578125" style="59" customWidth="1"/>
    <col min="9983" max="9984" width="11" style="59" customWidth="1"/>
    <col min="9985" max="9985" width="13.85546875" style="59" customWidth="1"/>
    <col min="9986" max="9990" width="0" style="59" hidden="1" customWidth="1"/>
    <col min="9991" max="10234" width="9.140625" style="59"/>
    <col min="10235" max="10235" width="3" style="59" customWidth="1"/>
    <col min="10236" max="10236" width="28.85546875" style="59" customWidth="1"/>
    <col min="10237" max="10237" width="14" style="59" customWidth="1"/>
    <col min="10238" max="10238" width="24.42578125" style="59" customWidth="1"/>
    <col min="10239" max="10240" width="11" style="59" customWidth="1"/>
    <col min="10241" max="10241" width="13.85546875" style="59" customWidth="1"/>
    <col min="10242" max="10246" width="0" style="59" hidden="1" customWidth="1"/>
    <col min="10247" max="10490" width="9.140625" style="59"/>
    <col min="10491" max="10491" width="3" style="59" customWidth="1"/>
    <col min="10492" max="10492" width="28.85546875" style="59" customWidth="1"/>
    <col min="10493" max="10493" width="14" style="59" customWidth="1"/>
    <col min="10494" max="10494" width="24.42578125" style="59" customWidth="1"/>
    <col min="10495" max="10496" width="11" style="59" customWidth="1"/>
    <col min="10497" max="10497" width="13.85546875" style="59" customWidth="1"/>
    <col min="10498" max="10502" width="0" style="59" hidden="1" customWidth="1"/>
    <col min="10503" max="10746" width="9.140625" style="59"/>
    <col min="10747" max="10747" width="3" style="59" customWidth="1"/>
    <col min="10748" max="10748" width="28.85546875" style="59" customWidth="1"/>
    <col min="10749" max="10749" width="14" style="59" customWidth="1"/>
    <col min="10750" max="10750" width="24.42578125" style="59" customWidth="1"/>
    <col min="10751" max="10752" width="11" style="59" customWidth="1"/>
    <col min="10753" max="10753" width="13.85546875" style="59" customWidth="1"/>
    <col min="10754" max="10758" width="0" style="59" hidden="1" customWidth="1"/>
    <col min="10759" max="11002" width="9.140625" style="59"/>
    <col min="11003" max="11003" width="3" style="59" customWidth="1"/>
    <col min="11004" max="11004" width="28.85546875" style="59" customWidth="1"/>
    <col min="11005" max="11005" width="14" style="59" customWidth="1"/>
    <col min="11006" max="11006" width="24.42578125" style="59" customWidth="1"/>
    <col min="11007" max="11008" width="11" style="59" customWidth="1"/>
    <col min="11009" max="11009" width="13.85546875" style="59" customWidth="1"/>
    <col min="11010" max="11014" width="0" style="59" hidden="1" customWidth="1"/>
    <col min="11015" max="11258" width="9.140625" style="59"/>
    <col min="11259" max="11259" width="3" style="59" customWidth="1"/>
    <col min="11260" max="11260" width="28.85546875" style="59" customWidth="1"/>
    <col min="11261" max="11261" width="14" style="59" customWidth="1"/>
    <col min="11262" max="11262" width="24.42578125" style="59" customWidth="1"/>
    <col min="11263" max="11264" width="11" style="59" customWidth="1"/>
    <col min="11265" max="11265" width="13.85546875" style="59" customWidth="1"/>
    <col min="11266" max="11270" width="0" style="59" hidden="1" customWidth="1"/>
    <col min="11271" max="11514" width="9.140625" style="59"/>
    <col min="11515" max="11515" width="3" style="59" customWidth="1"/>
    <col min="11516" max="11516" width="28.85546875" style="59" customWidth="1"/>
    <col min="11517" max="11517" width="14" style="59" customWidth="1"/>
    <col min="11518" max="11518" width="24.42578125" style="59" customWidth="1"/>
    <col min="11519" max="11520" width="11" style="59" customWidth="1"/>
    <col min="11521" max="11521" width="13.85546875" style="59" customWidth="1"/>
    <col min="11522" max="11526" width="0" style="59" hidden="1" customWidth="1"/>
    <col min="11527" max="11770" width="9.140625" style="59"/>
    <col min="11771" max="11771" width="3" style="59" customWidth="1"/>
    <col min="11772" max="11772" width="28.85546875" style="59" customWidth="1"/>
    <col min="11773" max="11773" width="14" style="59" customWidth="1"/>
    <col min="11774" max="11774" width="24.42578125" style="59" customWidth="1"/>
    <col min="11775" max="11776" width="11" style="59" customWidth="1"/>
    <col min="11777" max="11777" width="13.85546875" style="59" customWidth="1"/>
    <col min="11778" max="11782" width="0" style="59" hidden="1" customWidth="1"/>
    <col min="11783" max="12026" width="9.140625" style="59"/>
    <col min="12027" max="12027" width="3" style="59" customWidth="1"/>
    <col min="12028" max="12028" width="28.85546875" style="59" customWidth="1"/>
    <col min="12029" max="12029" width="14" style="59" customWidth="1"/>
    <col min="12030" max="12030" width="24.42578125" style="59" customWidth="1"/>
    <col min="12031" max="12032" width="11" style="59" customWidth="1"/>
    <col min="12033" max="12033" width="13.85546875" style="59" customWidth="1"/>
    <col min="12034" max="12038" width="0" style="59" hidden="1" customWidth="1"/>
    <col min="12039" max="12282" width="9.140625" style="59"/>
    <col min="12283" max="12283" width="3" style="59" customWidth="1"/>
    <col min="12284" max="12284" width="28.85546875" style="59" customWidth="1"/>
    <col min="12285" max="12285" width="14" style="59" customWidth="1"/>
    <col min="12286" max="12286" width="24.42578125" style="59" customWidth="1"/>
    <col min="12287" max="12288" width="11" style="59" customWidth="1"/>
    <col min="12289" max="12289" width="13.85546875" style="59" customWidth="1"/>
    <col min="12290" max="12294" width="0" style="59" hidden="1" customWidth="1"/>
    <col min="12295" max="12538" width="9.140625" style="59"/>
    <col min="12539" max="12539" width="3" style="59" customWidth="1"/>
    <col min="12540" max="12540" width="28.85546875" style="59" customWidth="1"/>
    <col min="12541" max="12541" width="14" style="59" customWidth="1"/>
    <col min="12542" max="12542" width="24.42578125" style="59" customWidth="1"/>
    <col min="12543" max="12544" width="11" style="59" customWidth="1"/>
    <col min="12545" max="12545" width="13.85546875" style="59" customWidth="1"/>
    <col min="12546" max="12550" width="0" style="59" hidden="1" customWidth="1"/>
    <col min="12551" max="12794" width="9.140625" style="59"/>
    <col min="12795" max="12795" width="3" style="59" customWidth="1"/>
    <col min="12796" max="12796" width="28.85546875" style="59" customWidth="1"/>
    <col min="12797" max="12797" width="14" style="59" customWidth="1"/>
    <col min="12798" max="12798" width="24.42578125" style="59" customWidth="1"/>
    <col min="12799" max="12800" width="11" style="59" customWidth="1"/>
    <col min="12801" max="12801" width="13.85546875" style="59" customWidth="1"/>
    <col min="12802" max="12806" width="0" style="59" hidden="1" customWidth="1"/>
    <col min="12807" max="13050" width="9.140625" style="59"/>
    <col min="13051" max="13051" width="3" style="59" customWidth="1"/>
    <col min="13052" max="13052" width="28.85546875" style="59" customWidth="1"/>
    <col min="13053" max="13053" width="14" style="59" customWidth="1"/>
    <col min="13054" max="13054" width="24.42578125" style="59" customWidth="1"/>
    <col min="13055" max="13056" width="11" style="59" customWidth="1"/>
    <col min="13057" max="13057" width="13.85546875" style="59" customWidth="1"/>
    <col min="13058" max="13062" width="0" style="59" hidden="1" customWidth="1"/>
    <col min="13063" max="13306" width="9.140625" style="59"/>
    <col min="13307" max="13307" width="3" style="59" customWidth="1"/>
    <col min="13308" max="13308" width="28.85546875" style="59" customWidth="1"/>
    <col min="13309" max="13309" width="14" style="59" customWidth="1"/>
    <col min="13310" max="13310" width="24.42578125" style="59" customWidth="1"/>
    <col min="13311" max="13312" width="11" style="59" customWidth="1"/>
    <col min="13313" max="13313" width="13.85546875" style="59" customWidth="1"/>
    <col min="13314" max="13318" width="0" style="59" hidden="1" customWidth="1"/>
    <col min="13319" max="13562" width="9.140625" style="59"/>
    <col min="13563" max="13563" width="3" style="59" customWidth="1"/>
    <col min="13564" max="13564" width="28.85546875" style="59" customWidth="1"/>
    <col min="13565" max="13565" width="14" style="59" customWidth="1"/>
    <col min="13566" max="13566" width="24.42578125" style="59" customWidth="1"/>
    <col min="13567" max="13568" width="11" style="59" customWidth="1"/>
    <col min="13569" max="13569" width="13.85546875" style="59" customWidth="1"/>
    <col min="13570" max="13574" width="0" style="59" hidden="1" customWidth="1"/>
    <col min="13575" max="13818" width="9.140625" style="59"/>
    <col min="13819" max="13819" width="3" style="59" customWidth="1"/>
    <col min="13820" max="13820" width="28.85546875" style="59" customWidth="1"/>
    <col min="13821" max="13821" width="14" style="59" customWidth="1"/>
    <col min="13822" max="13822" width="24.42578125" style="59" customWidth="1"/>
    <col min="13823" max="13824" width="11" style="59" customWidth="1"/>
    <col min="13825" max="13825" width="13.85546875" style="59" customWidth="1"/>
    <col min="13826" max="13830" width="0" style="59" hidden="1" customWidth="1"/>
    <col min="13831" max="14074" width="9.140625" style="59"/>
    <col min="14075" max="14075" width="3" style="59" customWidth="1"/>
    <col min="14076" max="14076" width="28.85546875" style="59" customWidth="1"/>
    <col min="14077" max="14077" width="14" style="59" customWidth="1"/>
    <col min="14078" max="14078" width="24.42578125" style="59" customWidth="1"/>
    <col min="14079" max="14080" width="11" style="59" customWidth="1"/>
    <col min="14081" max="14081" width="13.85546875" style="59" customWidth="1"/>
    <col min="14082" max="14086" width="0" style="59" hidden="1" customWidth="1"/>
    <col min="14087" max="14330" width="9.140625" style="59"/>
    <col min="14331" max="14331" width="3" style="59" customWidth="1"/>
    <col min="14332" max="14332" width="28.85546875" style="59" customWidth="1"/>
    <col min="14333" max="14333" width="14" style="59" customWidth="1"/>
    <col min="14334" max="14334" width="24.42578125" style="59" customWidth="1"/>
    <col min="14335" max="14336" width="11" style="59" customWidth="1"/>
    <col min="14337" max="14337" width="13.85546875" style="59" customWidth="1"/>
    <col min="14338" max="14342" width="0" style="59" hidden="1" customWidth="1"/>
    <col min="14343" max="14586" width="9.140625" style="59"/>
    <col min="14587" max="14587" width="3" style="59" customWidth="1"/>
    <col min="14588" max="14588" width="28.85546875" style="59" customWidth="1"/>
    <col min="14589" max="14589" width="14" style="59" customWidth="1"/>
    <col min="14590" max="14590" width="24.42578125" style="59" customWidth="1"/>
    <col min="14591" max="14592" width="11" style="59" customWidth="1"/>
    <col min="14593" max="14593" width="13.85546875" style="59" customWidth="1"/>
    <col min="14594" max="14598" width="0" style="59" hidden="1" customWidth="1"/>
    <col min="14599" max="14842" width="9.140625" style="59"/>
    <col min="14843" max="14843" width="3" style="59" customWidth="1"/>
    <col min="14844" max="14844" width="28.85546875" style="59" customWidth="1"/>
    <col min="14845" max="14845" width="14" style="59" customWidth="1"/>
    <col min="14846" max="14846" width="24.42578125" style="59" customWidth="1"/>
    <col min="14847" max="14848" width="11" style="59" customWidth="1"/>
    <col min="14849" max="14849" width="13.85546875" style="59" customWidth="1"/>
    <col min="14850" max="14854" width="0" style="59" hidden="1" customWidth="1"/>
    <col min="14855" max="15098" width="9.140625" style="59"/>
    <col min="15099" max="15099" width="3" style="59" customWidth="1"/>
    <col min="15100" max="15100" width="28.85546875" style="59" customWidth="1"/>
    <col min="15101" max="15101" width="14" style="59" customWidth="1"/>
    <col min="15102" max="15102" width="24.42578125" style="59" customWidth="1"/>
    <col min="15103" max="15104" width="11" style="59" customWidth="1"/>
    <col min="15105" max="15105" width="13.85546875" style="59" customWidth="1"/>
    <col min="15106" max="15110" width="0" style="59" hidden="1" customWidth="1"/>
    <col min="15111" max="15354" width="9.140625" style="59"/>
    <col min="15355" max="15355" width="3" style="59" customWidth="1"/>
    <col min="15356" max="15356" width="28.85546875" style="59" customWidth="1"/>
    <col min="15357" max="15357" width="14" style="59" customWidth="1"/>
    <col min="15358" max="15358" width="24.42578125" style="59" customWidth="1"/>
    <col min="15359" max="15360" width="11" style="59" customWidth="1"/>
    <col min="15361" max="15361" width="13.85546875" style="59" customWidth="1"/>
    <col min="15362" max="15366" width="0" style="59" hidden="1" customWidth="1"/>
    <col min="15367" max="15610" width="9.140625" style="59"/>
    <col min="15611" max="15611" width="3" style="59" customWidth="1"/>
    <col min="15612" max="15612" width="28.85546875" style="59" customWidth="1"/>
    <col min="15613" max="15613" width="14" style="59" customWidth="1"/>
    <col min="15614" max="15614" width="24.42578125" style="59" customWidth="1"/>
    <col min="15615" max="15616" width="11" style="59" customWidth="1"/>
    <col min="15617" max="15617" width="13.85546875" style="59" customWidth="1"/>
    <col min="15618" max="15622" width="0" style="59" hidden="1" customWidth="1"/>
    <col min="15623" max="15866" width="9.140625" style="59"/>
    <col min="15867" max="15867" width="3" style="59" customWidth="1"/>
    <col min="15868" max="15868" width="28.85546875" style="59" customWidth="1"/>
    <col min="15869" max="15869" width="14" style="59" customWidth="1"/>
    <col min="15870" max="15870" width="24.42578125" style="59" customWidth="1"/>
    <col min="15871" max="15872" width="11" style="59" customWidth="1"/>
    <col min="15873" max="15873" width="13.85546875" style="59" customWidth="1"/>
    <col min="15874" max="15878" width="0" style="59" hidden="1" customWidth="1"/>
    <col min="15879" max="16122" width="9.140625" style="59"/>
    <col min="16123" max="16123" width="3" style="59" customWidth="1"/>
    <col min="16124" max="16124" width="28.85546875" style="59" customWidth="1"/>
    <col min="16125" max="16125" width="14" style="59" customWidth="1"/>
    <col min="16126" max="16126" width="24.42578125" style="59" customWidth="1"/>
    <col min="16127" max="16128" width="11" style="59" customWidth="1"/>
    <col min="16129" max="16129" width="13.85546875" style="59" customWidth="1"/>
    <col min="16130" max="16134" width="0" style="59" hidden="1" customWidth="1"/>
    <col min="16135" max="16384" width="9.140625" style="59"/>
  </cols>
  <sheetData>
    <row r="1" spans="2:7" ht="35.450000000000003" customHeight="1" thickBot="1" x14ac:dyDescent="0.25">
      <c r="B1" s="408" t="s">
        <v>77</v>
      </c>
      <c r="C1" s="409"/>
      <c r="D1" s="409"/>
      <c r="E1" s="410"/>
    </row>
    <row r="2" spans="2:7" ht="15.6" customHeight="1" x14ac:dyDescent="0.2">
      <c r="B2" s="411" t="s">
        <v>78</v>
      </c>
      <c r="C2" s="411"/>
      <c r="D2" s="411"/>
      <c r="E2" s="411"/>
      <c r="G2" s="58" t="s">
        <v>161</v>
      </c>
    </row>
    <row r="3" spans="2:7" ht="15.6" customHeight="1" x14ac:dyDescent="0.2">
      <c r="B3" s="412" t="s">
        <v>79</v>
      </c>
      <c r="C3" s="413"/>
      <c r="G3" s="58">
        <v>20</v>
      </c>
    </row>
    <row r="4" spans="2:7" ht="12.75" customHeight="1" x14ac:dyDescent="0.2">
      <c r="B4" s="60">
        <v>1</v>
      </c>
      <c r="C4" s="289">
        <v>25.0001</v>
      </c>
      <c r="G4" s="58" t="s">
        <v>41</v>
      </c>
    </row>
    <row r="5" spans="2:7" ht="13.35" customHeight="1" x14ac:dyDescent="0.2">
      <c r="B5" s="61">
        <v>2</v>
      </c>
      <c r="C5" s="121">
        <v>25</v>
      </c>
      <c r="G5" s="58" t="s">
        <v>122</v>
      </c>
    </row>
    <row r="6" spans="2:7" ht="13.35" customHeight="1" x14ac:dyDescent="0.2">
      <c r="B6" s="61">
        <v>3</v>
      </c>
      <c r="C6" s="121">
        <v>25.0001</v>
      </c>
      <c r="G6" s="58" t="s">
        <v>123</v>
      </c>
    </row>
    <row r="7" spans="2:7" ht="13.35" customHeight="1" x14ac:dyDescent="0.2">
      <c r="B7" s="61">
        <v>4</v>
      </c>
      <c r="C7" s="121">
        <v>24.9999</v>
      </c>
    </row>
    <row r="8" spans="2:7" ht="13.35" customHeight="1" x14ac:dyDescent="0.2">
      <c r="B8" s="61">
        <v>5</v>
      </c>
      <c r="C8" s="290"/>
    </row>
    <row r="9" spans="2:7" ht="13.35" customHeight="1" x14ac:dyDescent="0.2">
      <c r="B9" s="61">
        <v>6</v>
      </c>
      <c r="C9" s="290"/>
    </row>
    <row r="10" spans="2:7" ht="12.75" customHeight="1" x14ac:dyDescent="0.2">
      <c r="B10" s="61">
        <v>7</v>
      </c>
      <c r="C10" s="290"/>
    </row>
    <row r="11" spans="2:7" x14ac:dyDescent="0.2">
      <c r="B11" s="61">
        <v>8</v>
      </c>
      <c r="C11" s="290"/>
    </row>
    <row r="12" spans="2:7" ht="12.75" customHeight="1" x14ac:dyDescent="0.2">
      <c r="B12" s="61">
        <v>9</v>
      </c>
      <c r="C12" s="290"/>
    </row>
    <row r="13" spans="2:7" x14ac:dyDescent="0.2">
      <c r="B13" s="61">
        <v>10</v>
      </c>
      <c r="C13" s="290"/>
    </row>
    <row r="14" spans="2:7" ht="15.6" customHeight="1" x14ac:dyDescent="0.2">
      <c r="B14" s="61">
        <v>11</v>
      </c>
      <c r="C14" s="290"/>
    </row>
    <row r="15" spans="2:7" ht="12.75" customHeight="1" x14ac:dyDescent="0.2">
      <c r="B15" s="61">
        <v>12</v>
      </c>
      <c r="C15" s="290"/>
    </row>
    <row r="16" spans="2:7" ht="12.75" customHeight="1" x14ac:dyDescent="0.2">
      <c r="B16" s="61">
        <v>13</v>
      </c>
      <c r="C16" s="290"/>
    </row>
    <row r="17" spans="2:5" x14ac:dyDescent="0.2">
      <c r="B17" s="61">
        <v>14</v>
      </c>
      <c r="C17" s="290"/>
    </row>
    <row r="18" spans="2:5" x14ac:dyDescent="0.2">
      <c r="B18" s="61">
        <v>15</v>
      </c>
      <c r="C18" s="290"/>
    </row>
    <row r="19" spans="2:5" hidden="1" x14ac:dyDescent="0.2">
      <c r="B19" s="61">
        <v>16</v>
      </c>
      <c r="C19" s="127"/>
    </row>
    <row r="20" spans="2:5" hidden="1" x14ac:dyDescent="0.2">
      <c r="B20" s="61">
        <v>17</v>
      </c>
      <c r="C20" s="127"/>
    </row>
    <row r="21" spans="2:5" hidden="1" x14ac:dyDescent="0.2">
      <c r="B21" s="61">
        <v>18</v>
      </c>
      <c r="C21" s="127"/>
    </row>
    <row r="22" spans="2:5" hidden="1" x14ac:dyDescent="0.2">
      <c r="B22" s="61">
        <v>19</v>
      </c>
      <c r="C22" s="127"/>
    </row>
    <row r="23" spans="2:5" hidden="1" x14ac:dyDescent="0.2">
      <c r="B23" s="61">
        <v>20</v>
      </c>
      <c r="C23" s="127"/>
    </row>
    <row r="24" spans="2:5" ht="15.6" hidden="1" customHeight="1" x14ac:dyDescent="0.2">
      <c r="B24" s="61">
        <v>21</v>
      </c>
      <c r="C24" s="127"/>
    </row>
    <row r="25" spans="2:5" ht="15.6" hidden="1" customHeight="1" x14ac:dyDescent="0.2">
      <c r="B25" s="61">
        <v>22</v>
      </c>
      <c r="C25" s="127"/>
    </row>
    <row r="26" spans="2:5" hidden="1" x14ac:dyDescent="0.2">
      <c r="B26" s="61">
        <v>23</v>
      </c>
      <c r="C26" s="127"/>
    </row>
    <row r="27" spans="2:5" hidden="1" x14ac:dyDescent="0.2">
      <c r="B27" s="61">
        <v>24</v>
      </c>
      <c r="C27" s="127"/>
    </row>
    <row r="28" spans="2:5" hidden="1" x14ac:dyDescent="0.2">
      <c r="B28" s="61">
        <v>25</v>
      </c>
      <c r="C28" s="127"/>
    </row>
    <row r="29" spans="2:5" ht="13.35" hidden="1" customHeight="1" x14ac:dyDescent="0.2">
      <c r="B29" s="61">
        <v>26</v>
      </c>
      <c r="C29" s="127"/>
    </row>
    <row r="30" spans="2:5" ht="13.35" hidden="1" customHeight="1" x14ac:dyDescent="0.2">
      <c r="B30" s="61">
        <v>27</v>
      </c>
      <c r="C30" s="127"/>
    </row>
    <row r="31" spans="2:5" ht="22.35" customHeight="1" x14ac:dyDescent="0.2">
      <c r="B31" s="405" t="s">
        <v>80</v>
      </c>
      <c r="C31" s="405"/>
      <c r="D31" s="405"/>
      <c r="E31" s="2"/>
    </row>
    <row r="32" spans="2:5" ht="19.350000000000001" customHeight="1" x14ac:dyDescent="0.2">
      <c r="B32" s="401" t="s">
        <v>81</v>
      </c>
      <c r="C32" s="401"/>
      <c r="D32" s="128">
        <f>IF(ISERROR(STDEV(C4:C30)), " ", STDEV(C4:C30))</f>
        <v>9.5742710775410675E-5</v>
      </c>
      <c r="E32" s="62"/>
    </row>
    <row r="33" spans="2:5" ht="24.75" customHeight="1" x14ac:dyDescent="0.2">
      <c r="B33" s="406" t="s">
        <v>82</v>
      </c>
      <c r="C33" s="407"/>
      <c r="D33" s="128">
        <f>IF( ISERROR( AVERAGE(C4:C30) ), " ", AVERAGE(C4:C30) )</f>
        <v>25.000025000000001</v>
      </c>
      <c r="E33" s="62"/>
    </row>
    <row r="34" spans="2:5" ht="19.5" customHeight="1" x14ac:dyDescent="0.2">
      <c r="B34" s="402" t="s">
        <v>83</v>
      </c>
      <c r="C34" s="402"/>
      <c r="D34" s="22">
        <f>COUNT(C4:C30)</f>
        <v>4</v>
      </c>
      <c r="E34" s="62"/>
    </row>
    <row r="35" spans="2:5" ht="12.75" customHeight="1" x14ac:dyDescent="0.2">
      <c r="B35" s="397"/>
      <c r="C35" s="398"/>
      <c r="D35" s="23"/>
      <c r="E35" s="62"/>
    </row>
    <row r="36" spans="2:5" ht="25.7" customHeight="1" x14ac:dyDescent="0.2">
      <c r="B36" s="403" t="s">
        <v>92</v>
      </c>
      <c r="C36" s="404"/>
      <c r="D36" s="79">
        <v>1</v>
      </c>
      <c r="E36" s="62"/>
    </row>
    <row r="37" spans="2:5" ht="21.75" customHeight="1" x14ac:dyDescent="0.2">
      <c r="B37" s="397"/>
      <c r="C37" s="398"/>
      <c r="D37" s="23"/>
      <c r="E37" s="62"/>
    </row>
    <row r="38" spans="2:5" ht="21.75" customHeight="1" x14ac:dyDescent="0.2">
      <c r="B38" s="399" t="s">
        <v>84</v>
      </c>
      <c r="C38" s="400"/>
      <c r="D38" s="24">
        <f>IF( COUNT(C4:C30)  = 0, 0, COUNT(C4:C30) - 1)</f>
        <v>3</v>
      </c>
      <c r="E38" s="62"/>
    </row>
    <row r="39" spans="2:5" ht="21.75" customHeight="1" x14ac:dyDescent="0.2">
      <c r="B39" s="401" t="s">
        <v>85</v>
      </c>
      <c r="C39" s="401"/>
      <c r="D39" s="128">
        <f>IF( ISERROR( D32/SQRT(D36) ), D32, D32/SQRT(D36) )</f>
        <v>9.5742710775410675E-5</v>
      </c>
      <c r="E39" s="63"/>
    </row>
    <row r="41" spans="2:5" ht="13.35" customHeight="1" x14ac:dyDescent="0.2"/>
    <row r="43" spans="2:5" ht="13.35" customHeight="1" x14ac:dyDescent="0.2"/>
  </sheetData>
  <sheetProtection sheet="1" objects="1" scenarios="1" formatCells="0" formatColumns="0" formatRows="0" sort="0" autoFilter="0"/>
  <mergeCells count="12">
    <mergeCell ref="B31:D31"/>
    <mergeCell ref="B32:C32"/>
    <mergeCell ref="B33:C33"/>
    <mergeCell ref="B1:E1"/>
    <mergeCell ref="B2:E2"/>
    <mergeCell ref="B3:C3"/>
    <mergeCell ref="B37:C37"/>
    <mergeCell ref="B38:C38"/>
    <mergeCell ref="B39:C39"/>
    <mergeCell ref="B34:C34"/>
    <mergeCell ref="B35:C35"/>
    <mergeCell ref="B36:C36"/>
  </mergeCells>
  <dataValidations disablePrompts="1" count="1">
    <dataValidation type="list" showInputMessage="1" showErrorMessage="1" sqref="WVF983056:WVG983070 IT17:IU31 WLJ983056:WLK983070 WBN983056:WBO983070 VRR983056:VRS983070 VHV983056:VHW983070 UXZ983056:UYA983070 UOD983056:UOE983070 UEH983056:UEI983070 TUL983056:TUM983070 TKP983056:TKQ983070 TAT983056:TAU983070 SQX983056:SQY983070 SHB983056:SHC983070 RXF983056:RXG983070 RNJ983056:RNK983070 RDN983056:RDO983070 QTR983056:QTS983070 QJV983056:QJW983070 PZZ983056:QAA983070 PQD983056:PQE983070 PGH983056:PGI983070 OWL983056:OWM983070 OMP983056:OMQ983070 OCT983056:OCU983070 NSX983056:NSY983070 NJB983056:NJC983070 MZF983056:MZG983070 MPJ983056:MPK983070 MFN983056:MFO983070 LVR983056:LVS983070 LLV983056:LLW983070 LBZ983056:LCA983070 KSD983056:KSE983070 KIH983056:KII983070 JYL983056:JYM983070 JOP983056:JOQ983070 JET983056:JEU983070 IUX983056:IUY983070 ILB983056:ILC983070 IBF983056:IBG983070 HRJ983056:HRK983070 HHN983056:HHO983070 GXR983056:GXS983070 GNV983056:GNW983070 GDZ983056:GEA983070 FUD983056:FUE983070 FKH983056:FKI983070 FAL983056:FAM983070 EQP983056:EQQ983070 EGT983056:EGU983070 DWX983056:DWY983070 DNB983056:DNC983070 DDF983056:DDG983070 CTJ983056:CTK983070 CJN983056:CJO983070 BZR983056:BZS983070 BPV983056:BPW983070 BFZ983056:BGA983070 AWD983056:AWE983070 AMH983056:AMI983070 ACL983056:ACM983070 SP983056:SQ983070 IT983056:IU983070 WVF917520:WVG917534 WLJ917520:WLK917534 WBN917520:WBO917534 VRR917520:VRS917534 VHV917520:VHW917534 UXZ917520:UYA917534 UOD917520:UOE917534 UEH917520:UEI917534 TUL917520:TUM917534 TKP917520:TKQ917534 TAT917520:TAU917534 SQX917520:SQY917534 SHB917520:SHC917534 RXF917520:RXG917534 RNJ917520:RNK917534 RDN917520:RDO917534 QTR917520:QTS917534 QJV917520:QJW917534 PZZ917520:QAA917534 PQD917520:PQE917534 PGH917520:PGI917534 OWL917520:OWM917534 OMP917520:OMQ917534 OCT917520:OCU917534 NSX917520:NSY917534 NJB917520:NJC917534 MZF917520:MZG917534 MPJ917520:MPK917534 MFN917520:MFO917534 LVR917520:LVS917534 LLV917520:LLW917534 LBZ917520:LCA917534 KSD917520:KSE917534 KIH917520:KII917534 JYL917520:JYM917534 JOP917520:JOQ917534 JET917520:JEU917534 IUX917520:IUY917534 ILB917520:ILC917534 IBF917520:IBG917534 HRJ917520:HRK917534 HHN917520:HHO917534 GXR917520:GXS917534 GNV917520:GNW917534 GDZ917520:GEA917534 FUD917520:FUE917534 FKH917520:FKI917534 FAL917520:FAM917534 EQP917520:EQQ917534 EGT917520:EGU917534 DWX917520:DWY917534 DNB917520:DNC917534 DDF917520:DDG917534 CTJ917520:CTK917534 CJN917520:CJO917534 BZR917520:BZS917534 BPV917520:BPW917534 BFZ917520:BGA917534 AWD917520:AWE917534 AMH917520:AMI917534 ACL917520:ACM917534 SP917520:SQ917534 IT917520:IU917534 WVF851984:WVG851998 WLJ851984:WLK851998 WBN851984:WBO851998 VRR851984:VRS851998 VHV851984:VHW851998 UXZ851984:UYA851998 UOD851984:UOE851998 UEH851984:UEI851998 TUL851984:TUM851998 TKP851984:TKQ851998 TAT851984:TAU851998 SQX851984:SQY851998 SHB851984:SHC851998 RXF851984:RXG851998 RNJ851984:RNK851998 RDN851984:RDO851998 QTR851984:QTS851998 QJV851984:QJW851998 PZZ851984:QAA851998 PQD851984:PQE851998 PGH851984:PGI851998 OWL851984:OWM851998 OMP851984:OMQ851998 OCT851984:OCU851998 NSX851984:NSY851998 NJB851984:NJC851998 MZF851984:MZG851998 MPJ851984:MPK851998 MFN851984:MFO851998 LVR851984:LVS851998 LLV851984:LLW851998 LBZ851984:LCA851998 KSD851984:KSE851998 KIH851984:KII851998 JYL851984:JYM851998 JOP851984:JOQ851998 JET851984:JEU851998 IUX851984:IUY851998 ILB851984:ILC851998 IBF851984:IBG851998 HRJ851984:HRK851998 HHN851984:HHO851998 GXR851984:GXS851998 GNV851984:GNW851998 GDZ851984:GEA851998 FUD851984:FUE851998 FKH851984:FKI851998 FAL851984:FAM851998 EQP851984:EQQ851998 EGT851984:EGU851998 DWX851984:DWY851998 DNB851984:DNC851998 DDF851984:DDG851998 CTJ851984:CTK851998 CJN851984:CJO851998 BZR851984:BZS851998 BPV851984:BPW851998 BFZ851984:BGA851998 AWD851984:AWE851998 AMH851984:AMI851998 ACL851984:ACM851998 SP851984:SQ851998 IT851984:IU851998 WVF786448:WVG786462 WLJ786448:WLK786462 WBN786448:WBO786462 VRR786448:VRS786462 VHV786448:VHW786462 UXZ786448:UYA786462 UOD786448:UOE786462 UEH786448:UEI786462 TUL786448:TUM786462 TKP786448:TKQ786462 TAT786448:TAU786462 SQX786448:SQY786462 SHB786448:SHC786462 RXF786448:RXG786462 RNJ786448:RNK786462 RDN786448:RDO786462 QTR786448:QTS786462 QJV786448:QJW786462 PZZ786448:QAA786462 PQD786448:PQE786462 PGH786448:PGI786462 OWL786448:OWM786462 OMP786448:OMQ786462 OCT786448:OCU786462 NSX786448:NSY786462 NJB786448:NJC786462 MZF786448:MZG786462 MPJ786448:MPK786462 MFN786448:MFO786462 LVR786448:LVS786462 LLV786448:LLW786462 LBZ786448:LCA786462 KSD786448:KSE786462 KIH786448:KII786462 JYL786448:JYM786462 JOP786448:JOQ786462 JET786448:JEU786462 IUX786448:IUY786462 ILB786448:ILC786462 IBF786448:IBG786462 HRJ786448:HRK786462 HHN786448:HHO786462 GXR786448:GXS786462 GNV786448:GNW786462 GDZ786448:GEA786462 FUD786448:FUE786462 FKH786448:FKI786462 FAL786448:FAM786462 EQP786448:EQQ786462 EGT786448:EGU786462 DWX786448:DWY786462 DNB786448:DNC786462 DDF786448:DDG786462 CTJ786448:CTK786462 CJN786448:CJO786462 BZR786448:BZS786462 BPV786448:BPW786462 BFZ786448:BGA786462 AWD786448:AWE786462 AMH786448:AMI786462 ACL786448:ACM786462 SP786448:SQ786462 IT786448:IU786462 WVF720912:WVG720926 WLJ720912:WLK720926 WBN720912:WBO720926 VRR720912:VRS720926 VHV720912:VHW720926 UXZ720912:UYA720926 UOD720912:UOE720926 UEH720912:UEI720926 TUL720912:TUM720926 TKP720912:TKQ720926 TAT720912:TAU720926 SQX720912:SQY720926 SHB720912:SHC720926 RXF720912:RXG720926 RNJ720912:RNK720926 RDN720912:RDO720926 QTR720912:QTS720926 QJV720912:QJW720926 PZZ720912:QAA720926 PQD720912:PQE720926 PGH720912:PGI720926 OWL720912:OWM720926 OMP720912:OMQ720926 OCT720912:OCU720926 NSX720912:NSY720926 NJB720912:NJC720926 MZF720912:MZG720926 MPJ720912:MPK720926 MFN720912:MFO720926 LVR720912:LVS720926 LLV720912:LLW720926 LBZ720912:LCA720926 KSD720912:KSE720926 KIH720912:KII720926 JYL720912:JYM720926 JOP720912:JOQ720926 JET720912:JEU720926 IUX720912:IUY720926 ILB720912:ILC720926 IBF720912:IBG720926 HRJ720912:HRK720926 HHN720912:HHO720926 GXR720912:GXS720926 GNV720912:GNW720926 GDZ720912:GEA720926 FUD720912:FUE720926 FKH720912:FKI720926 FAL720912:FAM720926 EQP720912:EQQ720926 EGT720912:EGU720926 DWX720912:DWY720926 DNB720912:DNC720926 DDF720912:DDG720926 CTJ720912:CTK720926 CJN720912:CJO720926 BZR720912:BZS720926 BPV720912:BPW720926 BFZ720912:BGA720926 AWD720912:AWE720926 AMH720912:AMI720926 ACL720912:ACM720926 SP720912:SQ720926 IT720912:IU720926 WVF655376:WVG655390 WLJ655376:WLK655390 WBN655376:WBO655390 VRR655376:VRS655390 VHV655376:VHW655390 UXZ655376:UYA655390 UOD655376:UOE655390 UEH655376:UEI655390 TUL655376:TUM655390 TKP655376:TKQ655390 TAT655376:TAU655390 SQX655376:SQY655390 SHB655376:SHC655390 RXF655376:RXG655390 RNJ655376:RNK655390 RDN655376:RDO655390 QTR655376:QTS655390 QJV655376:QJW655390 PZZ655376:QAA655390 PQD655376:PQE655390 PGH655376:PGI655390 OWL655376:OWM655390 OMP655376:OMQ655390 OCT655376:OCU655390 NSX655376:NSY655390 NJB655376:NJC655390 MZF655376:MZG655390 MPJ655376:MPK655390 MFN655376:MFO655390 LVR655376:LVS655390 LLV655376:LLW655390 LBZ655376:LCA655390 KSD655376:KSE655390 KIH655376:KII655390 JYL655376:JYM655390 JOP655376:JOQ655390 JET655376:JEU655390 IUX655376:IUY655390 ILB655376:ILC655390 IBF655376:IBG655390 HRJ655376:HRK655390 HHN655376:HHO655390 GXR655376:GXS655390 GNV655376:GNW655390 GDZ655376:GEA655390 FUD655376:FUE655390 FKH655376:FKI655390 FAL655376:FAM655390 EQP655376:EQQ655390 EGT655376:EGU655390 DWX655376:DWY655390 DNB655376:DNC655390 DDF655376:DDG655390 CTJ655376:CTK655390 CJN655376:CJO655390 BZR655376:BZS655390 BPV655376:BPW655390 BFZ655376:BGA655390 AWD655376:AWE655390 AMH655376:AMI655390 ACL655376:ACM655390 SP655376:SQ655390 IT655376:IU655390 WVF589840:WVG589854 WLJ589840:WLK589854 WBN589840:WBO589854 VRR589840:VRS589854 VHV589840:VHW589854 UXZ589840:UYA589854 UOD589840:UOE589854 UEH589840:UEI589854 TUL589840:TUM589854 TKP589840:TKQ589854 TAT589840:TAU589854 SQX589840:SQY589854 SHB589840:SHC589854 RXF589840:RXG589854 RNJ589840:RNK589854 RDN589840:RDO589854 QTR589840:QTS589854 QJV589840:QJW589854 PZZ589840:QAA589854 PQD589840:PQE589854 PGH589840:PGI589854 OWL589840:OWM589854 OMP589840:OMQ589854 OCT589840:OCU589854 NSX589840:NSY589854 NJB589840:NJC589854 MZF589840:MZG589854 MPJ589840:MPK589854 MFN589840:MFO589854 LVR589840:LVS589854 LLV589840:LLW589854 LBZ589840:LCA589854 KSD589840:KSE589854 KIH589840:KII589854 JYL589840:JYM589854 JOP589840:JOQ589854 JET589840:JEU589854 IUX589840:IUY589854 ILB589840:ILC589854 IBF589840:IBG589854 HRJ589840:HRK589854 HHN589840:HHO589854 GXR589840:GXS589854 GNV589840:GNW589854 GDZ589840:GEA589854 FUD589840:FUE589854 FKH589840:FKI589854 FAL589840:FAM589854 EQP589840:EQQ589854 EGT589840:EGU589854 DWX589840:DWY589854 DNB589840:DNC589854 DDF589840:DDG589854 CTJ589840:CTK589854 CJN589840:CJO589854 BZR589840:BZS589854 BPV589840:BPW589854 BFZ589840:BGA589854 AWD589840:AWE589854 AMH589840:AMI589854 ACL589840:ACM589854 SP589840:SQ589854 IT589840:IU589854 WVF524304:WVG524318 WLJ524304:WLK524318 WBN524304:WBO524318 VRR524304:VRS524318 VHV524304:VHW524318 UXZ524304:UYA524318 UOD524304:UOE524318 UEH524304:UEI524318 TUL524304:TUM524318 TKP524304:TKQ524318 TAT524304:TAU524318 SQX524304:SQY524318 SHB524304:SHC524318 RXF524304:RXG524318 RNJ524304:RNK524318 RDN524304:RDO524318 QTR524304:QTS524318 QJV524304:QJW524318 PZZ524304:QAA524318 PQD524304:PQE524318 PGH524304:PGI524318 OWL524304:OWM524318 OMP524304:OMQ524318 OCT524304:OCU524318 NSX524304:NSY524318 NJB524304:NJC524318 MZF524304:MZG524318 MPJ524304:MPK524318 MFN524304:MFO524318 LVR524304:LVS524318 LLV524304:LLW524318 LBZ524304:LCA524318 KSD524304:KSE524318 KIH524304:KII524318 JYL524304:JYM524318 JOP524304:JOQ524318 JET524304:JEU524318 IUX524304:IUY524318 ILB524304:ILC524318 IBF524304:IBG524318 HRJ524304:HRK524318 HHN524304:HHO524318 GXR524304:GXS524318 GNV524304:GNW524318 GDZ524304:GEA524318 FUD524304:FUE524318 FKH524304:FKI524318 FAL524304:FAM524318 EQP524304:EQQ524318 EGT524304:EGU524318 DWX524304:DWY524318 DNB524304:DNC524318 DDF524304:DDG524318 CTJ524304:CTK524318 CJN524304:CJO524318 BZR524304:BZS524318 BPV524304:BPW524318 BFZ524304:BGA524318 AWD524304:AWE524318 AMH524304:AMI524318 ACL524304:ACM524318 SP524304:SQ524318 IT524304:IU524318 WVF458768:WVG458782 WLJ458768:WLK458782 WBN458768:WBO458782 VRR458768:VRS458782 VHV458768:VHW458782 UXZ458768:UYA458782 UOD458768:UOE458782 UEH458768:UEI458782 TUL458768:TUM458782 TKP458768:TKQ458782 TAT458768:TAU458782 SQX458768:SQY458782 SHB458768:SHC458782 RXF458768:RXG458782 RNJ458768:RNK458782 RDN458768:RDO458782 QTR458768:QTS458782 QJV458768:QJW458782 PZZ458768:QAA458782 PQD458768:PQE458782 PGH458768:PGI458782 OWL458768:OWM458782 OMP458768:OMQ458782 OCT458768:OCU458782 NSX458768:NSY458782 NJB458768:NJC458782 MZF458768:MZG458782 MPJ458768:MPK458782 MFN458768:MFO458782 LVR458768:LVS458782 LLV458768:LLW458782 LBZ458768:LCA458782 KSD458768:KSE458782 KIH458768:KII458782 JYL458768:JYM458782 JOP458768:JOQ458782 JET458768:JEU458782 IUX458768:IUY458782 ILB458768:ILC458782 IBF458768:IBG458782 HRJ458768:HRK458782 HHN458768:HHO458782 GXR458768:GXS458782 GNV458768:GNW458782 GDZ458768:GEA458782 FUD458768:FUE458782 FKH458768:FKI458782 FAL458768:FAM458782 EQP458768:EQQ458782 EGT458768:EGU458782 DWX458768:DWY458782 DNB458768:DNC458782 DDF458768:DDG458782 CTJ458768:CTK458782 CJN458768:CJO458782 BZR458768:BZS458782 BPV458768:BPW458782 BFZ458768:BGA458782 AWD458768:AWE458782 AMH458768:AMI458782 ACL458768:ACM458782 SP458768:SQ458782 IT458768:IU458782 WVF393232:WVG393246 WLJ393232:WLK393246 WBN393232:WBO393246 VRR393232:VRS393246 VHV393232:VHW393246 UXZ393232:UYA393246 UOD393232:UOE393246 UEH393232:UEI393246 TUL393232:TUM393246 TKP393232:TKQ393246 TAT393232:TAU393246 SQX393232:SQY393246 SHB393232:SHC393246 RXF393232:RXG393246 RNJ393232:RNK393246 RDN393232:RDO393246 QTR393232:QTS393246 QJV393232:QJW393246 PZZ393232:QAA393246 PQD393232:PQE393246 PGH393232:PGI393246 OWL393232:OWM393246 OMP393232:OMQ393246 OCT393232:OCU393246 NSX393232:NSY393246 NJB393232:NJC393246 MZF393232:MZG393246 MPJ393232:MPK393246 MFN393232:MFO393246 LVR393232:LVS393246 LLV393232:LLW393246 LBZ393232:LCA393246 KSD393232:KSE393246 KIH393232:KII393246 JYL393232:JYM393246 JOP393232:JOQ393246 JET393232:JEU393246 IUX393232:IUY393246 ILB393232:ILC393246 IBF393232:IBG393246 HRJ393232:HRK393246 HHN393232:HHO393246 GXR393232:GXS393246 GNV393232:GNW393246 GDZ393232:GEA393246 FUD393232:FUE393246 FKH393232:FKI393246 FAL393232:FAM393246 EQP393232:EQQ393246 EGT393232:EGU393246 DWX393232:DWY393246 DNB393232:DNC393246 DDF393232:DDG393246 CTJ393232:CTK393246 CJN393232:CJO393246 BZR393232:BZS393246 BPV393232:BPW393246 BFZ393232:BGA393246 AWD393232:AWE393246 AMH393232:AMI393246 ACL393232:ACM393246 SP393232:SQ393246 IT393232:IU393246 WVF327696:WVG327710 WLJ327696:WLK327710 WBN327696:WBO327710 VRR327696:VRS327710 VHV327696:VHW327710 UXZ327696:UYA327710 UOD327696:UOE327710 UEH327696:UEI327710 TUL327696:TUM327710 TKP327696:TKQ327710 TAT327696:TAU327710 SQX327696:SQY327710 SHB327696:SHC327710 RXF327696:RXG327710 RNJ327696:RNK327710 RDN327696:RDO327710 QTR327696:QTS327710 QJV327696:QJW327710 PZZ327696:QAA327710 PQD327696:PQE327710 PGH327696:PGI327710 OWL327696:OWM327710 OMP327696:OMQ327710 OCT327696:OCU327710 NSX327696:NSY327710 NJB327696:NJC327710 MZF327696:MZG327710 MPJ327696:MPK327710 MFN327696:MFO327710 LVR327696:LVS327710 LLV327696:LLW327710 LBZ327696:LCA327710 KSD327696:KSE327710 KIH327696:KII327710 JYL327696:JYM327710 JOP327696:JOQ327710 JET327696:JEU327710 IUX327696:IUY327710 ILB327696:ILC327710 IBF327696:IBG327710 HRJ327696:HRK327710 HHN327696:HHO327710 GXR327696:GXS327710 GNV327696:GNW327710 GDZ327696:GEA327710 FUD327696:FUE327710 FKH327696:FKI327710 FAL327696:FAM327710 EQP327696:EQQ327710 EGT327696:EGU327710 DWX327696:DWY327710 DNB327696:DNC327710 DDF327696:DDG327710 CTJ327696:CTK327710 CJN327696:CJO327710 BZR327696:BZS327710 BPV327696:BPW327710 BFZ327696:BGA327710 AWD327696:AWE327710 AMH327696:AMI327710 ACL327696:ACM327710 SP327696:SQ327710 IT327696:IU327710 WVF262160:WVG262174 WLJ262160:WLK262174 WBN262160:WBO262174 VRR262160:VRS262174 VHV262160:VHW262174 UXZ262160:UYA262174 UOD262160:UOE262174 UEH262160:UEI262174 TUL262160:TUM262174 TKP262160:TKQ262174 TAT262160:TAU262174 SQX262160:SQY262174 SHB262160:SHC262174 RXF262160:RXG262174 RNJ262160:RNK262174 RDN262160:RDO262174 QTR262160:QTS262174 QJV262160:QJW262174 PZZ262160:QAA262174 PQD262160:PQE262174 PGH262160:PGI262174 OWL262160:OWM262174 OMP262160:OMQ262174 OCT262160:OCU262174 NSX262160:NSY262174 NJB262160:NJC262174 MZF262160:MZG262174 MPJ262160:MPK262174 MFN262160:MFO262174 LVR262160:LVS262174 LLV262160:LLW262174 LBZ262160:LCA262174 KSD262160:KSE262174 KIH262160:KII262174 JYL262160:JYM262174 JOP262160:JOQ262174 JET262160:JEU262174 IUX262160:IUY262174 ILB262160:ILC262174 IBF262160:IBG262174 HRJ262160:HRK262174 HHN262160:HHO262174 GXR262160:GXS262174 GNV262160:GNW262174 GDZ262160:GEA262174 FUD262160:FUE262174 FKH262160:FKI262174 FAL262160:FAM262174 EQP262160:EQQ262174 EGT262160:EGU262174 DWX262160:DWY262174 DNB262160:DNC262174 DDF262160:DDG262174 CTJ262160:CTK262174 CJN262160:CJO262174 BZR262160:BZS262174 BPV262160:BPW262174 BFZ262160:BGA262174 AWD262160:AWE262174 AMH262160:AMI262174 ACL262160:ACM262174 SP262160:SQ262174 IT262160:IU262174 WVF196624:WVG196638 WLJ196624:WLK196638 WBN196624:WBO196638 VRR196624:VRS196638 VHV196624:VHW196638 UXZ196624:UYA196638 UOD196624:UOE196638 UEH196624:UEI196638 TUL196624:TUM196638 TKP196624:TKQ196638 TAT196624:TAU196638 SQX196624:SQY196638 SHB196624:SHC196638 RXF196624:RXG196638 RNJ196624:RNK196638 RDN196624:RDO196638 QTR196624:QTS196638 QJV196624:QJW196638 PZZ196624:QAA196638 PQD196624:PQE196638 PGH196624:PGI196638 OWL196624:OWM196638 OMP196624:OMQ196638 OCT196624:OCU196638 NSX196624:NSY196638 NJB196624:NJC196638 MZF196624:MZG196638 MPJ196624:MPK196638 MFN196624:MFO196638 LVR196624:LVS196638 LLV196624:LLW196638 LBZ196624:LCA196638 KSD196624:KSE196638 KIH196624:KII196638 JYL196624:JYM196638 JOP196624:JOQ196638 JET196624:JEU196638 IUX196624:IUY196638 ILB196624:ILC196638 IBF196624:IBG196638 HRJ196624:HRK196638 HHN196624:HHO196638 GXR196624:GXS196638 GNV196624:GNW196638 GDZ196624:GEA196638 FUD196624:FUE196638 FKH196624:FKI196638 FAL196624:FAM196638 EQP196624:EQQ196638 EGT196624:EGU196638 DWX196624:DWY196638 DNB196624:DNC196638 DDF196624:DDG196638 CTJ196624:CTK196638 CJN196624:CJO196638 BZR196624:BZS196638 BPV196624:BPW196638 BFZ196624:BGA196638 AWD196624:AWE196638 AMH196624:AMI196638 ACL196624:ACM196638 SP196624:SQ196638 IT196624:IU196638 WVF131088:WVG131102 WLJ131088:WLK131102 WBN131088:WBO131102 VRR131088:VRS131102 VHV131088:VHW131102 UXZ131088:UYA131102 UOD131088:UOE131102 UEH131088:UEI131102 TUL131088:TUM131102 TKP131088:TKQ131102 TAT131088:TAU131102 SQX131088:SQY131102 SHB131088:SHC131102 RXF131088:RXG131102 RNJ131088:RNK131102 RDN131088:RDO131102 QTR131088:QTS131102 QJV131088:QJW131102 PZZ131088:QAA131102 PQD131088:PQE131102 PGH131088:PGI131102 OWL131088:OWM131102 OMP131088:OMQ131102 OCT131088:OCU131102 NSX131088:NSY131102 NJB131088:NJC131102 MZF131088:MZG131102 MPJ131088:MPK131102 MFN131088:MFO131102 LVR131088:LVS131102 LLV131088:LLW131102 LBZ131088:LCA131102 KSD131088:KSE131102 KIH131088:KII131102 JYL131088:JYM131102 JOP131088:JOQ131102 JET131088:JEU131102 IUX131088:IUY131102 ILB131088:ILC131102 IBF131088:IBG131102 HRJ131088:HRK131102 HHN131088:HHO131102 GXR131088:GXS131102 GNV131088:GNW131102 GDZ131088:GEA131102 FUD131088:FUE131102 FKH131088:FKI131102 FAL131088:FAM131102 EQP131088:EQQ131102 EGT131088:EGU131102 DWX131088:DWY131102 DNB131088:DNC131102 DDF131088:DDG131102 CTJ131088:CTK131102 CJN131088:CJO131102 BZR131088:BZS131102 BPV131088:BPW131102 BFZ131088:BGA131102 AWD131088:AWE131102 AMH131088:AMI131102 ACL131088:ACM131102 SP131088:SQ131102 IT131088:IU131102 WVF65552:WVG65566 WLJ65552:WLK65566 WBN65552:WBO65566 VRR65552:VRS65566 VHV65552:VHW65566 UXZ65552:UYA65566 UOD65552:UOE65566 UEH65552:UEI65566 TUL65552:TUM65566 TKP65552:TKQ65566 TAT65552:TAU65566 SQX65552:SQY65566 SHB65552:SHC65566 RXF65552:RXG65566 RNJ65552:RNK65566 RDN65552:RDO65566 QTR65552:QTS65566 QJV65552:QJW65566 PZZ65552:QAA65566 PQD65552:PQE65566 PGH65552:PGI65566 OWL65552:OWM65566 OMP65552:OMQ65566 OCT65552:OCU65566 NSX65552:NSY65566 NJB65552:NJC65566 MZF65552:MZG65566 MPJ65552:MPK65566 MFN65552:MFO65566 LVR65552:LVS65566 LLV65552:LLW65566 LBZ65552:LCA65566 KSD65552:KSE65566 KIH65552:KII65566 JYL65552:JYM65566 JOP65552:JOQ65566 JET65552:JEU65566 IUX65552:IUY65566 ILB65552:ILC65566 IBF65552:IBG65566 HRJ65552:HRK65566 HHN65552:HHO65566 GXR65552:GXS65566 GNV65552:GNW65566 GDZ65552:GEA65566 FUD65552:FUE65566 FKH65552:FKI65566 FAL65552:FAM65566 EQP65552:EQQ65566 EGT65552:EGU65566 DWX65552:DWY65566 DNB65552:DNC65566 DDF65552:DDG65566 CTJ65552:CTK65566 CJN65552:CJO65566 BZR65552:BZS65566 BPV65552:BPW65566 BFZ65552:BGA65566 AWD65552:AWE65566 AMH65552:AMI65566 ACL65552:ACM65566 SP65552:SQ65566 IT65552:IU65566 WVF17:WVG31 WLJ17:WLK31 WBN17:WBO31 VRR17:VRS31 VHV17:VHW31 UXZ17:UYA31 UOD17:UOE31 UEH17:UEI31 TUL17:TUM31 TKP17:TKQ31 TAT17:TAU31 SQX17:SQY31 SHB17:SHC31 RXF17:RXG31 RNJ17:RNK31 RDN17:RDO31 QTR17:QTS31 QJV17:QJW31 PZZ17:QAA31 PQD17:PQE31 PGH17:PGI31 OWL17:OWM31 OMP17:OMQ31 OCT17:OCU31 NSX17:NSY31 NJB17:NJC31 MZF17:MZG31 MPJ17:MPK31 MFN17:MFO31 LVR17:LVS31 LLV17:LLW31 LBZ17:LCA31 KSD17:KSE31 KIH17:KII31 JYL17:JYM31 JOP17:JOQ31 JET17:JEU31 IUX17:IUY31 ILB17:ILC31 IBF17:IBG31 HRJ17:HRK31 HHN17:HHO31 GXR17:GXS31 GNV17:GNW31 GDZ17:GEA31 FUD17:FUE31 FKH17:FKI31 FAL17:FAM31 EQP17:EQQ31 EGT17:EGU31 DWX17:DWY31 DNB17:DNC31 DDF17:DDG31 CTJ17:CTK31 CJN17:CJO31 BZR17:BZS31 BPV17:BPW31 BFZ17:BGA31 AWD17:AWE31 AMH17:AMI31 ACL17:ACM31 SP17:SQ31" xr:uid="{00000000-0002-0000-0700-000000000000}">
      <formula1>#REF!</formula1>
    </dataValidation>
  </dataValidations>
  <printOptions horizontalCentered="1"/>
  <pageMargins left="0.75" right="0.75" top="1" bottom="1" header="0.5" footer="0.5"/>
  <pageSetup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13" r:id="rId4" name="btnUncReturn">
              <controlPr defaultSize="0" print="0" autoFill="0" autoPict="0" macro="[0]!Repeatability.btnRepReturn_click">
                <anchor>
                  <from>
                    <xdr:col>0</xdr:col>
                    <xdr:colOff>66675</xdr:colOff>
                    <xdr:row>0</xdr:row>
                    <xdr:rowOff>85725</xdr:rowOff>
                  </from>
                  <to>
                    <xdr:col>0</xdr:col>
                    <xdr:colOff>1038225</xdr:colOff>
                    <xdr:row>1</xdr:row>
                    <xdr:rowOff>66675</xdr:rowOff>
                  </to>
                </anchor>
              </controlPr>
            </control>
          </mc:Choice>
        </mc:AlternateContent>
        <mc:AlternateContent xmlns:mc="http://schemas.openxmlformats.org/markup-compatibility/2006">
          <mc:Choice Requires="x14">
            <control shapeId="43014" r:id="rId5" name="btnClear">
              <controlPr defaultSize="0" print="0" autoFill="0" autoPict="0" macro="[0]!Repeatability.btnClear_Click">
                <anchor>
                  <from>
                    <xdr:col>0</xdr:col>
                    <xdr:colOff>66675</xdr:colOff>
                    <xdr:row>1</xdr:row>
                    <xdr:rowOff>104775</xdr:rowOff>
                  </from>
                  <to>
                    <xdr:col>0</xdr:col>
                    <xdr:colOff>1038225</xdr:colOff>
                    <xdr:row>3</xdr:row>
                    <xdr:rowOff>142875</xdr:rowOff>
                  </to>
                </anchor>
              </controlPr>
            </control>
          </mc:Choice>
        </mc:AlternateContent>
        <mc:AlternateContent xmlns:mc="http://schemas.openxmlformats.org/markup-compatibility/2006">
          <mc:Choice Requires="x14">
            <control shapeId="43015" r:id="rId6" name="btnCancel">
              <controlPr defaultSize="0" print="0" autoFill="0" autoPict="0" macro="[0]!Repeatability.btnCancel_click">
                <anchor>
                  <from>
                    <xdr:col>0</xdr:col>
                    <xdr:colOff>66675</xdr:colOff>
                    <xdr:row>4</xdr:row>
                    <xdr:rowOff>9525</xdr:rowOff>
                  </from>
                  <to>
                    <xdr:col>0</xdr:col>
                    <xdr:colOff>1038225</xdr:colOff>
                    <xdr:row>6</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olerances">
    <pageSetUpPr fitToPage="1"/>
  </sheetPr>
  <dimension ref="B1:T20"/>
  <sheetViews>
    <sheetView showGridLines="0" zoomScale="90" zoomScaleNormal="90" workbookViewId="0">
      <selection activeCell="C8" sqref="C8"/>
    </sheetView>
  </sheetViews>
  <sheetFormatPr defaultColWidth="8.85546875" defaultRowHeight="12.75" x14ac:dyDescent="0.2"/>
  <cols>
    <col min="1" max="1" width="18.42578125" style="40" customWidth="1"/>
    <col min="2" max="2" width="12.5703125" style="40" customWidth="1"/>
    <col min="3" max="3" width="13.5703125" style="39" customWidth="1"/>
    <col min="4" max="4" width="14.5703125" style="39" customWidth="1"/>
    <col min="5" max="5" width="13.42578125" style="39" customWidth="1"/>
    <col min="6" max="6" width="9.140625" customWidth="1"/>
    <col min="7" max="10" width="13.85546875" style="39" customWidth="1"/>
    <col min="11" max="11" width="13.42578125" style="39" customWidth="1"/>
    <col min="12" max="12" width="12.140625" style="39" hidden="1" customWidth="1"/>
    <col min="13" max="13" width="12.42578125" style="39" hidden="1" customWidth="1"/>
    <col min="14" max="14" width="14.42578125" style="39" hidden="1" customWidth="1"/>
    <col min="15" max="15" width="12.5703125" style="39" hidden="1" customWidth="1"/>
    <col min="16" max="16" width="18.140625" style="40" hidden="1" customWidth="1"/>
    <col min="17" max="17" width="13.140625" style="40" hidden="1" customWidth="1"/>
    <col min="18" max="20" width="8.85546875" style="40" hidden="1" customWidth="1"/>
    <col min="21" max="16384" width="8.85546875" style="40"/>
  </cols>
  <sheetData>
    <row r="1" spans="2:19" ht="23.25" x14ac:dyDescent="0.35">
      <c r="B1" s="47" t="s">
        <v>363</v>
      </c>
      <c r="C1" s="48"/>
      <c r="D1" s="48"/>
      <c r="E1" s="48"/>
      <c r="G1" s="48"/>
      <c r="H1" s="48"/>
      <c r="I1" s="48"/>
      <c r="J1" s="48"/>
      <c r="K1" s="48"/>
      <c r="L1" s="48"/>
      <c r="M1" s="48"/>
      <c r="N1" s="48"/>
      <c r="O1" s="48"/>
      <c r="P1" s="41" t="s">
        <v>60</v>
      </c>
    </row>
    <row r="2" spans="2:19" ht="13.5" thickBot="1" x14ac:dyDescent="0.25">
      <c r="B2"/>
      <c r="C2" s="48"/>
      <c r="D2" s="48"/>
      <c r="E2"/>
      <c r="G2" s="49" t="s">
        <v>160</v>
      </c>
      <c r="H2" s="48"/>
      <c r="I2" s="48"/>
      <c r="J2" s="48"/>
      <c r="K2" s="92"/>
      <c r="L2" s="93"/>
      <c r="M2" s="93"/>
      <c r="N2" s="93"/>
      <c r="O2" s="93"/>
      <c r="P2" s="42" t="s">
        <v>69</v>
      </c>
      <c r="Q2" s="42" t="s">
        <v>70</v>
      </c>
      <c r="S2" s="40" t="s">
        <v>370</v>
      </c>
    </row>
    <row r="3" spans="2:19" s="43" customFormat="1" ht="47.1" customHeight="1" thickTop="1" x14ac:dyDescent="0.2">
      <c r="B3" s="115" t="s">
        <v>44</v>
      </c>
      <c r="C3" s="52" t="s">
        <v>74</v>
      </c>
      <c r="D3" s="52" t="s">
        <v>188</v>
      </c>
      <c r="E3" s="39"/>
      <c r="F3"/>
      <c r="G3" s="52" t="s">
        <v>128</v>
      </c>
      <c r="H3" s="52" t="s">
        <v>127</v>
      </c>
      <c r="I3" s="52" t="s">
        <v>129</v>
      </c>
      <c r="J3" s="52" t="s">
        <v>130</v>
      </c>
      <c r="K3" s="94"/>
      <c r="L3" s="94"/>
      <c r="M3" s="94"/>
      <c r="N3" s="94"/>
      <c r="O3" s="94"/>
      <c r="P3" s="40" t="s">
        <v>53</v>
      </c>
      <c r="Q3" s="44">
        <v>100</v>
      </c>
      <c r="S3" s="43">
        <v>17</v>
      </c>
    </row>
    <row r="4" spans="2:19" ht="42" customHeight="1" x14ac:dyDescent="0.2">
      <c r="B4" s="53" t="s">
        <v>357</v>
      </c>
      <c r="C4" s="91" t="s">
        <v>358</v>
      </c>
      <c r="D4" s="54">
        <v>10</v>
      </c>
      <c r="G4" s="54">
        <f xml:space="preserve"> vbaIsError(ResDwn((D4 + I4), J6))</f>
        <v>7.9432823500000005</v>
      </c>
      <c r="H4" s="54">
        <f>vbaIsError(ResUp((D4+J4), J6))</f>
        <v>12.589254110000001</v>
      </c>
      <c r="I4" s="54">
        <f xml:space="preserve"> vbaIsError( Tolerance($D$4, $B$8, $D$8, $B$12, $C$12, $E$12, $B$16, $D$16, $B$20, $D$20, $E$20, SpecUnits, SpecDivider)  )</f>
        <v>-2.0567176527571851</v>
      </c>
      <c r="J4" s="54">
        <f xml:space="preserve"> vbaIsError( Tolerance($D$4, $C$8, $D$8, $B$12, $D$12, $E$12, $C$16, $D$16, $C$20, $D$20, $E$20, SpecUnits, SpecDivider)  )</f>
        <v>2.5892541179416728</v>
      </c>
      <c r="K4" s="95"/>
      <c r="L4" s="96"/>
      <c r="M4" s="97"/>
      <c r="N4" s="98"/>
      <c r="O4" s="96"/>
      <c r="P4" s="40" t="s">
        <v>54</v>
      </c>
      <c r="Q4" s="45">
        <v>1000000</v>
      </c>
      <c r="S4" s="40" t="s">
        <v>371</v>
      </c>
    </row>
    <row r="5" spans="2:19" x14ac:dyDescent="0.2">
      <c r="P5" s="40" t="s">
        <v>55</v>
      </c>
      <c r="Q5" s="46">
        <v>1000000</v>
      </c>
      <c r="S5" s="40" t="s">
        <v>302</v>
      </c>
    </row>
    <row r="6" spans="2:19" x14ac:dyDescent="0.2">
      <c r="B6" s="49" t="s">
        <v>173</v>
      </c>
      <c r="G6" s="287" t="s">
        <v>304</v>
      </c>
      <c r="H6" s="228"/>
      <c r="I6" s="48"/>
      <c r="J6" s="288">
        <v>1E-8</v>
      </c>
      <c r="P6" s="40" t="s">
        <v>56</v>
      </c>
      <c r="Q6" s="46">
        <v>1000</v>
      </c>
      <c r="S6" s="40" t="s">
        <v>303</v>
      </c>
    </row>
    <row r="7" spans="2:19" ht="47.1" customHeight="1" x14ac:dyDescent="0.2">
      <c r="B7" s="51" t="s">
        <v>48</v>
      </c>
      <c r="C7" s="51" t="s">
        <v>49</v>
      </c>
      <c r="D7" s="51" t="s">
        <v>47</v>
      </c>
      <c r="G7" s="273" t="s">
        <v>336</v>
      </c>
      <c r="P7" s="40" t="s">
        <v>57</v>
      </c>
      <c r="Q7" s="46">
        <v>1000000000</v>
      </c>
      <c r="S7" s="40" t="s">
        <v>263</v>
      </c>
    </row>
    <row r="8" spans="2:19" ht="42" customHeight="1" x14ac:dyDescent="0.2">
      <c r="B8" s="53" t="str">
        <f xml:space="preserve"> IF(IsNotNumeric($C$8), "", -$C$8)</f>
        <v/>
      </c>
      <c r="C8" s="37"/>
      <c r="D8" s="90"/>
      <c r="P8" s="40" t="s">
        <v>58</v>
      </c>
      <c r="Q8" s="46">
        <v>1000000000000</v>
      </c>
      <c r="S8" s="40" t="s">
        <v>302</v>
      </c>
    </row>
    <row r="9" spans="2:19" x14ac:dyDescent="0.2">
      <c r="P9" s="131" t="s">
        <v>59</v>
      </c>
      <c r="Q9" s="46">
        <v>1</v>
      </c>
      <c r="S9" s="40" t="s">
        <v>343</v>
      </c>
    </row>
    <row r="10" spans="2:19" x14ac:dyDescent="0.2">
      <c r="B10" s="49" t="s">
        <v>172</v>
      </c>
      <c r="P10" s="131"/>
      <c r="Q10" s="46"/>
    </row>
    <row r="11" spans="2:19" ht="47.1" customHeight="1" x14ac:dyDescent="0.2">
      <c r="B11" s="51" t="s">
        <v>73</v>
      </c>
      <c r="C11" s="51" t="s">
        <v>50</v>
      </c>
      <c r="D11" s="51" t="s">
        <v>51</v>
      </c>
      <c r="E11" s="50" t="s">
        <v>52</v>
      </c>
      <c r="Q11" s="46"/>
      <c r="R11" s="46"/>
    </row>
    <row r="12" spans="2:19" ht="42" customHeight="1" x14ac:dyDescent="0.2">
      <c r="B12" s="35"/>
      <c r="C12" s="53" t="str">
        <f xml:space="preserve"> IF(IsNotNumeric($D$12), "", -$D$12)</f>
        <v/>
      </c>
      <c r="D12" s="35"/>
      <c r="E12" s="181"/>
      <c r="F12" s="39"/>
      <c r="Q12" s="46"/>
      <c r="R12" s="46"/>
    </row>
    <row r="13" spans="2:19" ht="13.35" customHeight="1" x14ac:dyDescent="0.2">
      <c r="Q13" s="46"/>
    </row>
    <row r="14" spans="2:19" x14ac:dyDescent="0.2">
      <c r="B14" s="49" t="s">
        <v>174</v>
      </c>
      <c r="P14" s="131"/>
      <c r="Q14" s="46"/>
    </row>
    <row r="15" spans="2:19" ht="47.1" customHeight="1" x14ac:dyDescent="0.2">
      <c r="B15" s="51" t="s">
        <v>175</v>
      </c>
      <c r="C15" s="51" t="s">
        <v>176</v>
      </c>
      <c r="D15" s="51" t="s">
        <v>177</v>
      </c>
    </row>
    <row r="16" spans="2:19" ht="42" customHeight="1" x14ac:dyDescent="0.2">
      <c r="B16" s="53" t="str">
        <f xml:space="preserve"> IF(IsNotNumeric($C$16), "", -$C$16)</f>
        <v/>
      </c>
      <c r="C16" s="37"/>
      <c r="D16" s="90"/>
    </row>
    <row r="17" spans="2:10" ht="13.35" customHeight="1" x14ac:dyDescent="0.2"/>
    <row r="18" spans="2:10" x14ac:dyDescent="0.2">
      <c r="B18" s="124" t="s">
        <v>196</v>
      </c>
      <c r="G18" s="49" t="s">
        <v>224</v>
      </c>
    </row>
    <row r="19" spans="2:10" ht="47.1" customHeight="1" x14ac:dyDescent="0.2">
      <c r="B19" s="125" t="s">
        <v>193</v>
      </c>
      <c r="C19" s="125" t="s">
        <v>194</v>
      </c>
      <c r="D19" s="125" t="s">
        <v>192</v>
      </c>
      <c r="E19" s="126" t="s">
        <v>195</v>
      </c>
      <c r="G19" s="126" t="s">
        <v>220</v>
      </c>
      <c r="H19" s="115" t="s">
        <v>221</v>
      </c>
      <c r="I19" s="50" t="s">
        <v>222</v>
      </c>
      <c r="J19" s="52" t="s">
        <v>223</v>
      </c>
    </row>
    <row r="20" spans="2:10" ht="42" customHeight="1" x14ac:dyDescent="0.2">
      <c r="B20" s="53">
        <f xml:space="preserve"> IF(IsNotNumeric($C$20), "", -$C$20)</f>
        <v>-1</v>
      </c>
      <c r="C20" s="36">
        <v>1</v>
      </c>
      <c r="D20" s="36">
        <v>10</v>
      </c>
      <c r="E20" s="36">
        <v>10</v>
      </c>
      <c r="G20" s="55"/>
      <c r="H20" s="54" t="str">
        <f xml:space="preserve"> IF(G20 = "", "", vbaIsError(E20*10^(G20/D20)))</f>
        <v/>
      </c>
      <c r="I20" s="55"/>
      <c r="J20" s="54" t="str">
        <f xml:space="preserve"> IF( I20 = "", "", vbaIsError( D20*LOG(I20/E20)))</f>
        <v/>
      </c>
    </row>
  </sheetData>
  <sheetProtection sheet="1" objects="1" scenarios="1" formatCells="0" formatColumns="0" formatRows="0" sort="0" autoFilter="0"/>
  <dataValidations count="2">
    <dataValidation type="list" allowBlank="1" showInputMessage="1" showErrorMessage="1" sqref="N4 D8 E12" xr:uid="{00000000-0002-0000-0800-000000000000}">
      <formula1 xml:space="preserve"> SpecUnits</formula1>
    </dataValidation>
    <dataValidation type="list" allowBlank="1" showInputMessage="1" showErrorMessage="1" sqref="D16" xr:uid="{00000000-0002-0000-0800-000001000000}">
      <formula1 xml:space="preserve"> FloorUnits</formula1>
    </dataValidation>
  </dataValidations>
  <pageMargins left="0.7" right="0.7" top="0.75" bottom="0.75" header="0.3" footer="0.3"/>
  <pageSetup scale="89" orientation="landscape" r:id="rId1"/>
  <ignoredErrors>
    <ignoredError sqref="H2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6" r:id="rId4" name="Button 6">
              <controlPr defaultSize="0" print="0" autoFill="0" autoPict="0" macro="[0]!Tolerances.btnTolReturn_click">
                <anchor>
                  <from>
                    <xdr:col>0</xdr:col>
                    <xdr:colOff>161925</xdr:colOff>
                    <xdr:row>0</xdr:row>
                    <xdr:rowOff>85725</xdr:rowOff>
                  </from>
                  <to>
                    <xdr:col>0</xdr:col>
                    <xdr:colOff>1133475</xdr:colOff>
                    <xdr:row>2</xdr:row>
                    <xdr:rowOff>47625</xdr:rowOff>
                  </to>
                </anchor>
              </controlPr>
            </control>
          </mc:Choice>
        </mc:AlternateContent>
        <mc:AlternateContent xmlns:mc="http://schemas.openxmlformats.org/markup-compatibility/2006">
          <mc:Choice Requires="x14">
            <control shapeId="174087" r:id="rId5" name="Button 7">
              <controlPr defaultSize="0" print="0" autoFill="0" autoPict="0" macro="[0]!Tolerances.btnCopyTol_click">
                <anchor>
                  <from>
                    <xdr:col>0</xdr:col>
                    <xdr:colOff>161925</xdr:colOff>
                    <xdr:row>2</xdr:row>
                    <xdr:rowOff>66675</xdr:rowOff>
                  </from>
                  <to>
                    <xdr:col>0</xdr:col>
                    <xdr:colOff>1133475</xdr:colOff>
                    <xdr:row>2</xdr:row>
                    <xdr:rowOff>495300</xdr:rowOff>
                  </to>
                </anchor>
              </controlPr>
            </control>
          </mc:Choice>
        </mc:AlternateContent>
        <mc:AlternateContent xmlns:mc="http://schemas.openxmlformats.org/markup-compatibility/2006">
          <mc:Choice Requires="x14">
            <control shapeId="174088" r:id="rId6" name="btnLowLimit">
              <controlPr locked="0" defaultSize="0" print="0" autoFill="0" autoPict="0" macro="[0]!Tolerances.btnLowLimit_click">
                <anchor>
                  <from>
                    <xdr:col>0</xdr:col>
                    <xdr:colOff>161925</xdr:colOff>
                    <xdr:row>2</xdr:row>
                    <xdr:rowOff>523875</xdr:rowOff>
                  </from>
                  <to>
                    <xdr:col>0</xdr:col>
                    <xdr:colOff>1133475</xdr:colOff>
                    <xdr:row>3</xdr:row>
                    <xdr:rowOff>352425</xdr:rowOff>
                  </to>
                </anchor>
              </controlPr>
            </control>
          </mc:Choice>
        </mc:AlternateContent>
        <mc:AlternateContent xmlns:mc="http://schemas.openxmlformats.org/markup-compatibility/2006">
          <mc:Choice Requires="x14">
            <control shapeId="174089" r:id="rId7" name="Button 9">
              <controlPr defaultSize="0" print="0" autoFill="0" autoPict="0" macro="[0]!Tolerances.btnTolClear_click">
                <anchor>
                  <from>
                    <xdr:col>0</xdr:col>
                    <xdr:colOff>161925</xdr:colOff>
                    <xdr:row>3</xdr:row>
                    <xdr:rowOff>371475</xdr:rowOff>
                  </from>
                  <to>
                    <xdr:col>0</xdr:col>
                    <xdr:colOff>1133475</xdr:colOff>
                    <xdr:row>5</xdr:row>
                    <xdr:rowOff>104775</xdr:rowOff>
                  </to>
                </anchor>
              </controlPr>
            </control>
          </mc:Choice>
        </mc:AlternateContent>
        <mc:AlternateContent xmlns:mc="http://schemas.openxmlformats.org/markup-compatibility/2006">
          <mc:Choice Requires="x14">
            <control shapeId="174090" r:id="rId8" name="Button 10">
              <controlPr defaultSize="0" print="0" autoFill="0" autoPict="0" macro="[0]!Tolerances.btnTolCancel_click">
                <anchor>
                  <from>
                    <xdr:col>0</xdr:col>
                    <xdr:colOff>161925</xdr:colOff>
                    <xdr:row>5</xdr:row>
                    <xdr:rowOff>123825</xdr:rowOff>
                  </from>
                  <to>
                    <xdr:col>0</xdr:col>
                    <xdr:colOff>1133475</xdr:colOff>
                    <xdr:row>6</xdr:row>
                    <xdr:rowOff>381000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iskReport">
    <pageSetUpPr fitToPage="1"/>
  </sheetPr>
  <dimension ref="A1:L51"/>
  <sheetViews>
    <sheetView showGridLines="0" zoomScaleNormal="100" workbookViewId="0">
      <selection activeCell="E19" sqref="E19"/>
    </sheetView>
  </sheetViews>
  <sheetFormatPr defaultColWidth="9.140625" defaultRowHeight="12.75" x14ac:dyDescent="0.2"/>
  <cols>
    <col min="1" max="1" width="15.85546875" style="134" customWidth="1"/>
    <col min="2" max="2" width="6.5703125" style="134" customWidth="1"/>
    <col min="3" max="3" width="48.5703125" style="135" customWidth="1"/>
    <col min="4" max="4" width="5.140625" style="134" customWidth="1"/>
    <col min="5" max="5" width="15.140625" style="134" customWidth="1"/>
    <col min="6" max="6" width="7.42578125" style="134" customWidth="1"/>
    <col min="7" max="7" width="9.140625" style="134" customWidth="1"/>
    <col min="8" max="8" width="12.5703125" style="134" customWidth="1"/>
    <col min="9" max="10" width="9.140625" style="134"/>
    <col min="11" max="11" width="10.140625" style="134" hidden="1" customWidth="1"/>
    <col min="12" max="12" width="9.140625" style="135" hidden="1" customWidth="1"/>
    <col min="13" max="239" width="9.140625" style="134"/>
    <col min="240" max="240" width="6.5703125" style="134" customWidth="1"/>
    <col min="241" max="241" width="40.140625" style="134" customWidth="1"/>
    <col min="242" max="242" width="16.42578125" style="134" customWidth="1"/>
    <col min="243" max="243" width="7.140625" style="134" customWidth="1"/>
    <col min="244" max="244" width="7.42578125" style="134" customWidth="1"/>
    <col min="245" max="248" width="16.42578125" style="134" customWidth="1"/>
    <col min="249" max="250" width="5.5703125" style="134" bestFit="1" customWidth="1"/>
    <col min="251" max="251" width="6" style="134" customWidth="1"/>
    <col min="252" max="495" width="9.140625" style="134"/>
    <col min="496" max="496" width="6.5703125" style="134" customWidth="1"/>
    <col min="497" max="497" width="40.140625" style="134" customWidth="1"/>
    <col min="498" max="498" width="16.42578125" style="134" customWidth="1"/>
    <col min="499" max="499" width="7.140625" style="134" customWidth="1"/>
    <col min="500" max="500" width="7.42578125" style="134" customWidth="1"/>
    <col min="501" max="504" width="16.42578125" style="134" customWidth="1"/>
    <col min="505" max="506" width="5.5703125" style="134" bestFit="1" customWidth="1"/>
    <col min="507" max="507" width="6" style="134" customWidth="1"/>
    <col min="508" max="751" width="9.140625" style="134"/>
    <col min="752" max="752" width="6.5703125" style="134" customWidth="1"/>
    <col min="753" max="753" width="40.140625" style="134" customWidth="1"/>
    <col min="754" max="754" width="16.42578125" style="134" customWidth="1"/>
    <col min="755" max="755" width="7.140625" style="134" customWidth="1"/>
    <col min="756" max="756" width="7.42578125" style="134" customWidth="1"/>
    <col min="757" max="760" width="16.42578125" style="134" customWidth="1"/>
    <col min="761" max="762" width="5.5703125" style="134" bestFit="1" customWidth="1"/>
    <col min="763" max="763" width="6" style="134" customWidth="1"/>
    <col min="764" max="1007" width="9.140625" style="134"/>
    <col min="1008" max="1008" width="6.5703125" style="134" customWidth="1"/>
    <col min="1009" max="1009" width="40.140625" style="134" customWidth="1"/>
    <col min="1010" max="1010" width="16.42578125" style="134" customWidth="1"/>
    <col min="1011" max="1011" width="7.140625" style="134" customWidth="1"/>
    <col min="1012" max="1012" width="7.42578125" style="134" customWidth="1"/>
    <col min="1013" max="1016" width="16.42578125" style="134" customWidth="1"/>
    <col min="1017" max="1018" width="5.5703125" style="134" bestFit="1" customWidth="1"/>
    <col min="1019" max="1019" width="6" style="134" customWidth="1"/>
    <col min="1020" max="1263" width="9.140625" style="134"/>
    <col min="1264" max="1264" width="6.5703125" style="134" customWidth="1"/>
    <col min="1265" max="1265" width="40.140625" style="134" customWidth="1"/>
    <col min="1266" max="1266" width="16.42578125" style="134" customWidth="1"/>
    <col min="1267" max="1267" width="7.140625" style="134" customWidth="1"/>
    <col min="1268" max="1268" width="7.42578125" style="134" customWidth="1"/>
    <col min="1269" max="1272" width="16.42578125" style="134" customWidth="1"/>
    <col min="1273" max="1274" width="5.5703125" style="134" bestFit="1" customWidth="1"/>
    <col min="1275" max="1275" width="6" style="134" customWidth="1"/>
    <col min="1276" max="1519" width="9.140625" style="134"/>
    <col min="1520" max="1520" width="6.5703125" style="134" customWidth="1"/>
    <col min="1521" max="1521" width="40.140625" style="134" customWidth="1"/>
    <col min="1522" max="1522" width="16.42578125" style="134" customWidth="1"/>
    <col min="1523" max="1523" width="7.140625" style="134" customWidth="1"/>
    <col min="1524" max="1524" width="7.42578125" style="134" customWidth="1"/>
    <col min="1525" max="1528" width="16.42578125" style="134" customWidth="1"/>
    <col min="1529" max="1530" width="5.5703125" style="134" bestFit="1" customWidth="1"/>
    <col min="1531" max="1531" width="6" style="134" customWidth="1"/>
    <col min="1532" max="1775" width="9.140625" style="134"/>
    <col min="1776" max="1776" width="6.5703125" style="134" customWidth="1"/>
    <col min="1777" max="1777" width="40.140625" style="134" customWidth="1"/>
    <col min="1778" max="1778" width="16.42578125" style="134" customWidth="1"/>
    <col min="1779" max="1779" width="7.140625" style="134" customWidth="1"/>
    <col min="1780" max="1780" width="7.42578125" style="134" customWidth="1"/>
    <col min="1781" max="1784" width="16.42578125" style="134" customWidth="1"/>
    <col min="1785" max="1786" width="5.5703125" style="134" bestFit="1" customWidth="1"/>
    <col min="1787" max="1787" width="6" style="134" customWidth="1"/>
    <col min="1788" max="2031" width="9.140625" style="134"/>
    <col min="2032" max="2032" width="6.5703125" style="134" customWidth="1"/>
    <col min="2033" max="2033" width="40.140625" style="134" customWidth="1"/>
    <col min="2034" max="2034" width="16.42578125" style="134" customWidth="1"/>
    <col min="2035" max="2035" width="7.140625" style="134" customWidth="1"/>
    <col min="2036" max="2036" width="7.42578125" style="134" customWidth="1"/>
    <col min="2037" max="2040" width="16.42578125" style="134" customWidth="1"/>
    <col min="2041" max="2042" width="5.5703125" style="134" bestFit="1" customWidth="1"/>
    <col min="2043" max="2043" width="6" style="134" customWidth="1"/>
    <col min="2044" max="2287" width="9.140625" style="134"/>
    <col min="2288" max="2288" width="6.5703125" style="134" customWidth="1"/>
    <col min="2289" max="2289" width="40.140625" style="134" customWidth="1"/>
    <col min="2290" max="2290" width="16.42578125" style="134" customWidth="1"/>
    <col min="2291" max="2291" width="7.140625" style="134" customWidth="1"/>
    <col min="2292" max="2292" width="7.42578125" style="134" customWidth="1"/>
    <col min="2293" max="2296" width="16.42578125" style="134" customWidth="1"/>
    <col min="2297" max="2298" width="5.5703125" style="134" bestFit="1" customWidth="1"/>
    <col min="2299" max="2299" width="6" style="134" customWidth="1"/>
    <col min="2300" max="2543" width="9.140625" style="134"/>
    <col min="2544" max="2544" width="6.5703125" style="134" customWidth="1"/>
    <col min="2545" max="2545" width="40.140625" style="134" customWidth="1"/>
    <col min="2546" max="2546" width="16.42578125" style="134" customWidth="1"/>
    <col min="2547" max="2547" width="7.140625" style="134" customWidth="1"/>
    <col min="2548" max="2548" width="7.42578125" style="134" customWidth="1"/>
    <col min="2549" max="2552" width="16.42578125" style="134" customWidth="1"/>
    <col min="2553" max="2554" width="5.5703125" style="134" bestFit="1" customWidth="1"/>
    <col min="2555" max="2555" width="6" style="134" customWidth="1"/>
    <col min="2556" max="2799" width="9.140625" style="134"/>
    <col min="2800" max="2800" width="6.5703125" style="134" customWidth="1"/>
    <col min="2801" max="2801" width="40.140625" style="134" customWidth="1"/>
    <col min="2802" max="2802" width="16.42578125" style="134" customWidth="1"/>
    <col min="2803" max="2803" width="7.140625" style="134" customWidth="1"/>
    <col min="2804" max="2804" width="7.42578125" style="134" customWidth="1"/>
    <col min="2805" max="2808" width="16.42578125" style="134" customWidth="1"/>
    <col min="2809" max="2810" width="5.5703125" style="134" bestFit="1" customWidth="1"/>
    <col min="2811" max="2811" width="6" style="134" customWidth="1"/>
    <col min="2812" max="3055" width="9.140625" style="134"/>
    <col min="3056" max="3056" width="6.5703125" style="134" customWidth="1"/>
    <col min="3057" max="3057" width="40.140625" style="134" customWidth="1"/>
    <col min="3058" max="3058" width="16.42578125" style="134" customWidth="1"/>
    <col min="3059" max="3059" width="7.140625" style="134" customWidth="1"/>
    <col min="3060" max="3060" width="7.42578125" style="134" customWidth="1"/>
    <col min="3061" max="3064" width="16.42578125" style="134" customWidth="1"/>
    <col min="3065" max="3066" width="5.5703125" style="134" bestFit="1" customWidth="1"/>
    <col min="3067" max="3067" width="6" style="134" customWidth="1"/>
    <col min="3068" max="3311" width="9.140625" style="134"/>
    <col min="3312" max="3312" width="6.5703125" style="134" customWidth="1"/>
    <col min="3313" max="3313" width="40.140625" style="134" customWidth="1"/>
    <col min="3314" max="3314" width="16.42578125" style="134" customWidth="1"/>
    <col min="3315" max="3315" width="7.140625" style="134" customWidth="1"/>
    <col min="3316" max="3316" width="7.42578125" style="134" customWidth="1"/>
    <col min="3317" max="3320" width="16.42578125" style="134" customWidth="1"/>
    <col min="3321" max="3322" width="5.5703125" style="134" bestFit="1" customWidth="1"/>
    <col min="3323" max="3323" width="6" style="134" customWidth="1"/>
    <col min="3324" max="3567" width="9.140625" style="134"/>
    <col min="3568" max="3568" width="6.5703125" style="134" customWidth="1"/>
    <col min="3569" max="3569" width="40.140625" style="134" customWidth="1"/>
    <col min="3570" max="3570" width="16.42578125" style="134" customWidth="1"/>
    <col min="3571" max="3571" width="7.140625" style="134" customWidth="1"/>
    <col min="3572" max="3572" width="7.42578125" style="134" customWidth="1"/>
    <col min="3573" max="3576" width="16.42578125" style="134" customWidth="1"/>
    <col min="3577" max="3578" width="5.5703125" style="134" bestFit="1" customWidth="1"/>
    <col min="3579" max="3579" width="6" style="134" customWidth="1"/>
    <col min="3580" max="3823" width="9.140625" style="134"/>
    <col min="3824" max="3824" width="6.5703125" style="134" customWidth="1"/>
    <col min="3825" max="3825" width="40.140625" style="134" customWidth="1"/>
    <col min="3826" max="3826" width="16.42578125" style="134" customWidth="1"/>
    <col min="3827" max="3827" width="7.140625" style="134" customWidth="1"/>
    <col min="3828" max="3828" width="7.42578125" style="134" customWidth="1"/>
    <col min="3829" max="3832" width="16.42578125" style="134" customWidth="1"/>
    <col min="3833" max="3834" width="5.5703125" style="134" bestFit="1" customWidth="1"/>
    <col min="3835" max="3835" width="6" style="134" customWidth="1"/>
    <col min="3836" max="4079" width="9.140625" style="134"/>
    <col min="4080" max="4080" width="6.5703125" style="134" customWidth="1"/>
    <col min="4081" max="4081" width="40.140625" style="134" customWidth="1"/>
    <col min="4082" max="4082" width="16.42578125" style="134" customWidth="1"/>
    <col min="4083" max="4083" width="7.140625" style="134" customWidth="1"/>
    <col min="4084" max="4084" width="7.42578125" style="134" customWidth="1"/>
    <col min="4085" max="4088" width="16.42578125" style="134" customWidth="1"/>
    <col min="4089" max="4090" width="5.5703125" style="134" bestFit="1" customWidth="1"/>
    <col min="4091" max="4091" width="6" style="134" customWidth="1"/>
    <col min="4092" max="4335" width="9.140625" style="134"/>
    <col min="4336" max="4336" width="6.5703125" style="134" customWidth="1"/>
    <col min="4337" max="4337" width="40.140625" style="134" customWidth="1"/>
    <col min="4338" max="4338" width="16.42578125" style="134" customWidth="1"/>
    <col min="4339" max="4339" width="7.140625" style="134" customWidth="1"/>
    <col min="4340" max="4340" width="7.42578125" style="134" customWidth="1"/>
    <col min="4341" max="4344" width="16.42578125" style="134" customWidth="1"/>
    <col min="4345" max="4346" width="5.5703125" style="134" bestFit="1" customWidth="1"/>
    <col min="4347" max="4347" width="6" style="134" customWidth="1"/>
    <col min="4348" max="4591" width="9.140625" style="134"/>
    <col min="4592" max="4592" width="6.5703125" style="134" customWidth="1"/>
    <col min="4593" max="4593" width="40.140625" style="134" customWidth="1"/>
    <col min="4594" max="4594" width="16.42578125" style="134" customWidth="1"/>
    <col min="4595" max="4595" width="7.140625" style="134" customWidth="1"/>
    <col min="4596" max="4596" width="7.42578125" style="134" customWidth="1"/>
    <col min="4597" max="4600" width="16.42578125" style="134" customWidth="1"/>
    <col min="4601" max="4602" width="5.5703125" style="134" bestFit="1" customWidth="1"/>
    <col min="4603" max="4603" width="6" style="134" customWidth="1"/>
    <col min="4604" max="4847" width="9.140625" style="134"/>
    <col min="4848" max="4848" width="6.5703125" style="134" customWidth="1"/>
    <col min="4849" max="4849" width="40.140625" style="134" customWidth="1"/>
    <col min="4850" max="4850" width="16.42578125" style="134" customWidth="1"/>
    <col min="4851" max="4851" width="7.140625" style="134" customWidth="1"/>
    <col min="4852" max="4852" width="7.42578125" style="134" customWidth="1"/>
    <col min="4853" max="4856" width="16.42578125" style="134" customWidth="1"/>
    <col min="4857" max="4858" width="5.5703125" style="134" bestFit="1" customWidth="1"/>
    <col min="4859" max="4859" width="6" style="134" customWidth="1"/>
    <col min="4860" max="5103" width="9.140625" style="134"/>
    <col min="5104" max="5104" width="6.5703125" style="134" customWidth="1"/>
    <col min="5105" max="5105" width="40.140625" style="134" customWidth="1"/>
    <col min="5106" max="5106" width="16.42578125" style="134" customWidth="1"/>
    <col min="5107" max="5107" width="7.140625" style="134" customWidth="1"/>
    <col min="5108" max="5108" width="7.42578125" style="134" customWidth="1"/>
    <col min="5109" max="5112" width="16.42578125" style="134" customWidth="1"/>
    <col min="5113" max="5114" width="5.5703125" style="134" bestFit="1" customWidth="1"/>
    <col min="5115" max="5115" width="6" style="134" customWidth="1"/>
    <col min="5116" max="5359" width="9.140625" style="134"/>
    <col min="5360" max="5360" width="6.5703125" style="134" customWidth="1"/>
    <col min="5361" max="5361" width="40.140625" style="134" customWidth="1"/>
    <col min="5362" max="5362" width="16.42578125" style="134" customWidth="1"/>
    <col min="5363" max="5363" width="7.140625" style="134" customWidth="1"/>
    <col min="5364" max="5364" width="7.42578125" style="134" customWidth="1"/>
    <col min="5365" max="5368" width="16.42578125" style="134" customWidth="1"/>
    <col min="5369" max="5370" width="5.5703125" style="134" bestFit="1" customWidth="1"/>
    <col min="5371" max="5371" width="6" style="134" customWidth="1"/>
    <col min="5372" max="5615" width="9.140625" style="134"/>
    <col min="5616" max="5616" width="6.5703125" style="134" customWidth="1"/>
    <col min="5617" max="5617" width="40.140625" style="134" customWidth="1"/>
    <col min="5618" max="5618" width="16.42578125" style="134" customWidth="1"/>
    <col min="5619" max="5619" width="7.140625" style="134" customWidth="1"/>
    <col min="5620" max="5620" width="7.42578125" style="134" customWidth="1"/>
    <col min="5621" max="5624" width="16.42578125" style="134" customWidth="1"/>
    <col min="5625" max="5626" width="5.5703125" style="134" bestFit="1" customWidth="1"/>
    <col min="5627" max="5627" width="6" style="134" customWidth="1"/>
    <col min="5628" max="5871" width="9.140625" style="134"/>
    <col min="5872" max="5872" width="6.5703125" style="134" customWidth="1"/>
    <col min="5873" max="5873" width="40.140625" style="134" customWidth="1"/>
    <col min="5874" max="5874" width="16.42578125" style="134" customWidth="1"/>
    <col min="5875" max="5875" width="7.140625" style="134" customWidth="1"/>
    <col min="5876" max="5876" width="7.42578125" style="134" customWidth="1"/>
    <col min="5877" max="5880" width="16.42578125" style="134" customWidth="1"/>
    <col min="5881" max="5882" width="5.5703125" style="134" bestFit="1" customWidth="1"/>
    <col min="5883" max="5883" width="6" style="134" customWidth="1"/>
    <col min="5884" max="6127" width="9.140625" style="134"/>
    <col min="6128" max="6128" width="6.5703125" style="134" customWidth="1"/>
    <col min="6129" max="6129" width="40.140625" style="134" customWidth="1"/>
    <col min="6130" max="6130" width="16.42578125" style="134" customWidth="1"/>
    <col min="6131" max="6131" width="7.140625" style="134" customWidth="1"/>
    <col min="6132" max="6132" width="7.42578125" style="134" customWidth="1"/>
    <col min="6133" max="6136" width="16.42578125" style="134" customWidth="1"/>
    <col min="6137" max="6138" width="5.5703125" style="134" bestFit="1" customWidth="1"/>
    <col min="6139" max="6139" width="6" style="134" customWidth="1"/>
    <col min="6140" max="6383" width="9.140625" style="134"/>
    <col min="6384" max="6384" width="6.5703125" style="134" customWidth="1"/>
    <col min="6385" max="6385" width="40.140625" style="134" customWidth="1"/>
    <col min="6386" max="6386" width="16.42578125" style="134" customWidth="1"/>
    <col min="6387" max="6387" width="7.140625" style="134" customWidth="1"/>
    <col min="6388" max="6388" width="7.42578125" style="134" customWidth="1"/>
    <col min="6389" max="6392" width="16.42578125" style="134" customWidth="1"/>
    <col min="6393" max="6394" width="5.5703125" style="134" bestFit="1" customWidth="1"/>
    <col min="6395" max="6395" width="6" style="134" customWidth="1"/>
    <col min="6396" max="6639" width="9.140625" style="134"/>
    <col min="6640" max="6640" width="6.5703125" style="134" customWidth="1"/>
    <col min="6641" max="6641" width="40.140625" style="134" customWidth="1"/>
    <col min="6642" max="6642" width="16.42578125" style="134" customWidth="1"/>
    <col min="6643" max="6643" width="7.140625" style="134" customWidth="1"/>
    <col min="6644" max="6644" width="7.42578125" style="134" customWidth="1"/>
    <col min="6645" max="6648" width="16.42578125" style="134" customWidth="1"/>
    <col min="6649" max="6650" width="5.5703125" style="134" bestFit="1" customWidth="1"/>
    <col min="6651" max="6651" width="6" style="134" customWidth="1"/>
    <col min="6652" max="6895" width="9.140625" style="134"/>
    <col min="6896" max="6896" width="6.5703125" style="134" customWidth="1"/>
    <col min="6897" max="6897" width="40.140625" style="134" customWidth="1"/>
    <col min="6898" max="6898" width="16.42578125" style="134" customWidth="1"/>
    <col min="6899" max="6899" width="7.140625" style="134" customWidth="1"/>
    <col min="6900" max="6900" width="7.42578125" style="134" customWidth="1"/>
    <col min="6901" max="6904" width="16.42578125" style="134" customWidth="1"/>
    <col min="6905" max="6906" width="5.5703125" style="134" bestFit="1" customWidth="1"/>
    <col min="6907" max="6907" width="6" style="134" customWidth="1"/>
    <col min="6908" max="7151" width="9.140625" style="134"/>
    <col min="7152" max="7152" width="6.5703125" style="134" customWidth="1"/>
    <col min="7153" max="7153" width="40.140625" style="134" customWidth="1"/>
    <col min="7154" max="7154" width="16.42578125" style="134" customWidth="1"/>
    <col min="7155" max="7155" width="7.140625" style="134" customWidth="1"/>
    <col min="7156" max="7156" width="7.42578125" style="134" customWidth="1"/>
    <col min="7157" max="7160" width="16.42578125" style="134" customWidth="1"/>
    <col min="7161" max="7162" width="5.5703125" style="134" bestFit="1" customWidth="1"/>
    <col min="7163" max="7163" width="6" style="134" customWidth="1"/>
    <col min="7164" max="7407" width="9.140625" style="134"/>
    <col min="7408" max="7408" width="6.5703125" style="134" customWidth="1"/>
    <col min="7409" max="7409" width="40.140625" style="134" customWidth="1"/>
    <col min="7410" max="7410" width="16.42578125" style="134" customWidth="1"/>
    <col min="7411" max="7411" width="7.140625" style="134" customWidth="1"/>
    <col min="7412" max="7412" width="7.42578125" style="134" customWidth="1"/>
    <col min="7413" max="7416" width="16.42578125" style="134" customWidth="1"/>
    <col min="7417" max="7418" width="5.5703125" style="134" bestFit="1" customWidth="1"/>
    <col min="7419" max="7419" width="6" style="134" customWidth="1"/>
    <col min="7420" max="7663" width="9.140625" style="134"/>
    <col min="7664" max="7664" width="6.5703125" style="134" customWidth="1"/>
    <col min="7665" max="7665" width="40.140625" style="134" customWidth="1"/>
    <col min="7666" max="7666" width="16.42578125" style="134" customWidth="1"/>
    <col min="7667" max="7667" width="7.140625" style="134" customWidth="1"/>
    <col min="7668" max="7668" width="7.42578125" style="134" customWidth="1"/>
    <col min="7669" max="7672" width="16.42578125" style="134" customWidth="1"/>
    <col min="7673" max="7674" width="5.5703125" style="134" bestFit="1" customWidth="1"/>
    <col min="7675" max="7675" width="6" style="134" customWidth="1"/>
    <col min="7676" max="7919" width="9.140625" style="134"/>
    <col min="7920" max="7920" width="6.5703125" style="134" customWidth="1"/>
    <col min="7921" max="7921" width="40.140625" style="134" customWidth="1"/>
    <col min="7922" max="7922" width="16.42578125" style="134" customWidth="1"/>
    <col min="7923" max="7923" width="7.140625" style="134" customWidth="1"/>
    <col min="7924" max="7924" width="7.42578125" style="134" customWidth="1"/>
    <col min="7925" max="7928" width="16.42578125" style="134" customWidth="1"/>
    <col min="7929" max="7930" width="5.5703125" style="134" bestFit="1" customWidth="1"/>
    <col min="7931" max="7931" width="6" style="134" customWidth="1"/>
    <col min="7932" max="8175" width="9.140625" style="134"/>
    <col min="8176" max="8176" width="6.5703125" style="134" customWidth="1"/>
    <col min="8177" max="8177" width="40.140625" style="134" customWidth="1"/>
    <col min="8178" max="8178" width="16.42578125" style="134" customWidth="1"/>
    <col min="8179" max="8179" width="7.140625" style="134" customWidth="1"/>
    <col min="8180" max="8180" width="7.42578125" style="134" customWidth="1"/>
    <col min="8181" max="8184" width="16.42578125" style="134" customWidth="1"/>
    <col min="8185" max="8186" width="5.5703125" style="134" bestFit="1" customWidth="1"/>
    <col min="8187" max="8187" width="6" style="134" customWidth="1"/>
    <col min="8188" max="8431" width="9.140625" style="134"/>
    <col min="8432" max="8432" width="6.5703125" style="134" customWidth="1"/>
    <col min="8433" max="8433" width="40.140625" style="134" customWidth="1"/>
    <col min="8434" max="8434" width="16.42578125" style="134" customWidth="1"/>
    <col min="8435" max="8435" width="7.140625" style="134" customWidth="1"/>
    <col min="8436" max="8436" width="7.42578125" style="134" customWidth="1"/>
    <col min="8437" max="8440" width="16.42578125" style="134" customWidth="1"/>
    <col min="8441" max="8442" width="5.5703125" style="134" bestFit="1" customWidth="1"/>
    <col min="8443" max="8443" width="6" style="134" customWidth="1"/>
    <col min="8444" max="8687" width="9.140625" style="134"/>
    <col min="8688" max="8688" width="6.5703125" style="134" customWidth="1"/>
    <col min="8689" max="8689" width="40.140625" style="134" customWidth="1"/>
    <col min="8690" max="8690" width="16.42578125" style="134" customWidth="1"/>
    <col min="8691" max="8691" width="7.140625" style="134" customWidth="1"/>
    <col min="8692" max="8692" width="7.42578125" style="134" customWidth="1"/>
    <col min="8693" max="8696" width="16.42578125" style="134" customWidth="1"/>
    <col min="8697" max="8698" width="5.5703125" style="134" bestFit="1" customWidth="1"/>
    <col min="8699" max="8699" width="6" style="134" customWidth="1"/>
    <col min="8700" max="8943" width="9.140625" style="134"/>
    <col min="8944" max="8944" width="6.5703125" style="134" customWidth="1"/>
    <col min="8945" max="8945" width="40.140625" style="134" customWidth="1"/>
    <col min="8946" max="8946" width="16.42578125" style="134" customWidth="1"/>
    <col min="8947" max="8947" width="7.140625" style="134" customWidth="1"/>
    <col min="8948" max="8948" width="7.42578125" style="134" customWidth="1"/>
    <col min="8949" max="8952" width="16.42578125" style="134" customWidth="1"/>
    <col min="8953" max="8954" width="5.5703125" style="134" bestFit="1" customWidth="1"/>
    <col min="8955" max="8955" width="6" style="134" customWidth="1"/>
    <col min="8956" max="9199" width="9.140625" style="134"/>
    <col min="9200" max="9200" width="6.5703125" style="134" customWidth="1"/>
    <col min="9201" max="9201" width="40.140625" style="134" customWidth="1"/>
    <col min="9202" max="9202" width="16.42578125" style="134" customWidth="1"/>
    <col min="9203" max="9203" width="7.140625" style="134" customWidth="1"/>
    <col min="9204" max="9204" width="7.42578125" style="134" customWidth="1"/>
    <col min="9205" max="9208" width="16.42578125" style="134" customWidth="1"/>
    <col min="9209" max="9210" width="5.5703125" style="134" bestFit="1" customWidth="1"/>
    <col min="9211" max="9211" width="6" style="134" customWidth="1"/>
    <col min="9212" max="9455" width="9.140625" style="134"/>
    <col min="9456" max="9456" width="6.5703125" style="134" customWidth="1"/>
    <col min="9457" max="9457" width="40.140625" style="134" customWidth="1"/>
    <col min="9458" max="9458" width="16.42578125" style="134" customWidth="1"/>
    <col min="9459" max="9459" width="7.140625" style="134" customWidth="1"/>
    <col min="9460" max="9460" width="7.42578125" style="134" customWidth="1"/>
    <col min="9461" max="9464" width="16.42578125" style="134" customWidth="1"/>
    <col min="9465" max="9466" width="5.5703125" style="134" bestFit="1" customWidth="1"/>
    <col min="9467" max="9467" width="6" style="134" customWidth="1"/>
    <col min="9468" max="9711" width="9.140625" style="134"/>
    <col min="9712" max="9712" width="6.5703125" style="134" customWidth="1"/>
    <col min="9713" max="9713" width="40.140625" style="134" customWidth="1"/>
    <col min="9714" max="9714" width="16.42578125" style="134" customWidth="1"/>
    <col min="9715" max="9715" width="7.140625" style="134" customWidth="1"/>
    <col min="9716" max="9716" width="7.42578125" style="134" customWidth="1"/>
    <col min="9717" max="9720" width="16.42578125" style="134" customWidth="1"/>
    <col min="9721" max="9722" width="5.5703125" style="134" bestFit="1" customWidth="1"/>
    <col min="9723" max="9723" width="6" style="134" customWidth="1"/>
    <col min="9724" max="9967" width="9.140625" style="134"/>
    <col min="9968" max="9968" width="6.5703125" style="134" customWidth="1"/>
    <col min="9969" max="9969" width="40.140625" style="134" customWidth="1"/>
    <col min="9970" max="9970" width="16.42578125" style="134" customWidth="1"/>
    <col min="9971" max="9971" width="7.140625" style="134" customWidth="1"/>
    <col min="9972" max="9972" width="7.42578125" style="134" customWidth="1"/>
    <col min="9973" max="9976" width="16.42578125" style="134" customWidth="1"/>
    <col min="9977" max="9978" width="5.5703125" style="134" bestFit="1" customWidth="1"/>
    <col min="9979" max="9979" width="6" style="134" customWidth="1"/>
    <col min="9980" max="10223" width="9.140625" style="134"/>
    <col min="10224" max="10224" width="6.5703125" style="134" customWidth="1"/>
    <col min="10225" max="10225" width="40.140625" style="134" customWidth="1"/>
    <col min="10226" max="10226" width="16.42578125" style="134" customWidth="1"/>
    <col min="10227" max="10227" width="7.140625" style="134" customWidth="1"/>
    <col min="10228" max="10228" width="7.42578125" style="134" customWidth="1"/>
    <col min="10229" max="10232" width="16.42578125" style="134" customWidth="1"/>
    <col min="10233" max="10234" width="5.5703125" style="134" bestFit="1" customWidth="1"/>
    <col min="10235" max="10235" width="6" style="134" customWidth="1"/>
    <col min="10236" max="10479" width="9.140625" style="134"/>
    <col min="10480" max="10480" width="6.5703125" style="134" customWidth="1"/>
    <col min="10481" max="10481" width="40.140625" style="134" customWidth="1"/>
    <col min="10482" max="10482" width="16.42578125" style="134" customWidth="1"/>
    <col min="10483" max="10483" width="7.140625" style="134" customWidth="1"/>
    <col min="10484" max="10484" width="7.42578125" style="134" customWidth="1"/>
    <col min="10485" max="10488" width="16.42578125" style="134" customWidth="1"/>
    <col min="10489" max="10490" width="5.5703125" style="134" bestFit="1" customWidth="1"/>
    <col min="10491" max="10491" width="6" style="134" customWidth="1"/>
    <col min="10492" max="10735" width="9.140625" style="134"/>
    <col min="10736" max="10736" width="6.5703125" style="134" customWidth="1"/>
    <col min="10737" max="10737" width="40.140625" style="134" customWidth="1"/>
    <col min="10738" max="10738" width="16.42578125" style="134" customWidth="1"/>
    <col min="10739" max="10739" width="7.140625" style="134" customWidth="1"/>
    <col min="10740" max="10740" width="7.42578125" style="134" customWidth="1"/>
    <col min="10741" max="10744" width="16.42578125" style="134" customWidth="1"/>
    <col min="10745" max="10746" width="5.5703125" style="134" bestFit="1" customWidth="1"/>
    <col min="10747" max="10747" width="6" style="134" customWidth="1"/>
    <col min="10748" max="10991" width="9.140625" style="134"/>
    <col min="10992" max="10992" width="6.5703125" style="134" customWidth="1"/>
    <col min="10993" max="10993" width="40.140625" style="134" customWidth="1"/>
    <col min="10994" max="10994" width="16.42578125" style="134" customWidth="1"/>
    <col min="10995" max="10995" width="7.140625" style="134" customWidth="1"/>
    <col min="10996" max="10996" width="7.42578125" style="134" customWidth="1"/>
    <col min="10997" max="11000" width="16.42578125" style="134" customWidth="1"/>
    <col min="11001" max="11002" width="5.5703125" style="134" bestFit="1" customWidth="1"/>
    <col min="11003" max="11003" width="6" style="134" customWidth="1"/>
    <col min="11004" max="11247" width="9.140625" style="134"/>
    <col min="11248" max="11248" width="6.5703125" style="134" customWidth="1"/>
    <col min="11249" max="11249" width="40.140625" style="134" customWidth="1"/>
    <col min="11250" max="11250" width="16.42578125" style="134" customWidth="1"/>
    <col min="11251" max="11251" width="7.140625" style="134" customWidth="1"/>
    <col min="11252" max="11252" width="7.42578125" style="134" customWidth="1"/>
    <col min="11253" max="11256" width="16.42578125" style="134" customWidth="1"/>
    <col min="11257" max="11258" width="5.5703125" style="134" bestFit="1" customWidth="1"/>
    <col min="11259" max="11259" width="6" style="134" customWidth="1"/>
    <col min="11260" max="11503" width="9.140625" style="134"/>
    <col min="11504" max="11504" width="6.5703125" style="134" customWidth="1"/>
    <col min="11505" max="11505" width="40.140625" style="134" customWidth="1"/>
    <col min="11506" max="11506" width="16.42578125" style="134" customWidth="1"/>
    <col min="11507" max="11507" width="7.140625" style="134" customWidth="1"/>
    <col min="11508" max="11508" width="7.42578125" style="134" customWidth="1"/>
    <col min="11509" max="11512" width="16.42578125" style="134" customWidth="1"/>
    <col min="11513" max="11514" width="5.5703125" style="134" bestFit="1" customWidth="1"/>
    <col min="11515" max="11515" width="6" style="134" customWidth="1"/>
    <col min="11516" max="11759" width="9.140625" style="134"/>
    <col min="11760" max="11760" width="6.5703125" style="134" customWidth="1"/>
    <col min="11761" max="11761" width="40.140625" style="134" customWidth="1"/>
    <col min="11762" max="11762" width="16.42578125" style="134" customWidth="1"/>
    <col min="11763" max="11763" width="7.140625" style="134" customWidth="1"/>
    <col min="11764" max="11764" width="7.42578125" style="134" customWidth="1"/>
    <col min="11765" max="11768" width="16.42578125" style="134" customWidth="1"/>
    <col min="11769" max="11770" width="5.5703125" style="134" bestFit="1" customWidth="1"/>
    <col min="11771" max="11771" width="6" style="134" customWidth="1"/>
    <col min="11772" max="12015" width="9.140625" style="134"/>
    <col min="12016" max="12016" width="6.5703125" style="134" customWidth="1"/>
    <col min="12017" max="12017" width="40.140625" style="134" customWidth="1"/>
    <col min="12018" max="12018" width="16.42578125" style="134" customWidth="1"/>
    <col min="12019" max="12019" width="7.140625" style="134" customWidth="1"/>
    <col min="12020" max="12020" width="7.42578125" style="134" customWidth="1"/>
    <col min="12021" max="12024" width="16.42578125" style="134" customWidth="1"/>
    <col min="12025" max="12026" width="5.5703125" style="134" bestFit="1" customWidth="1"/>
    <col min="12027" max="12027" width="6" style="134" customWidth="1"/>
    <col min="12028" max="12271" width="9.140625" style="134"/>
    <col min="12272" max="12272" width="6.5703125" style="134" customWidth="1"/>
    <col min="12273" max="12273" width="40.140625" style="134" customWidth="1"/>
    <col min="12274" max="12274" width="16.42578125" style="134" customWidth="1"/>
    <col min="12275" max="12275" width="7.140625" style="134" customWidth="1"/>
    <col min="12276" max="12276" width="7.42578125" style="134" customWidth="1"/>
    <col min="12277" max="12280" width="16.42578125" style="134" customWidth="1"/>
    <col min="12281" max="12282" width="5.5703125" style="134" bestFit="1" customWidth="1"/>
    <col min="12283" max="12283" width="6" style="134" customWidth="1"/>
    <col min="12284" max="12527" width="9.140625" style="134"/>
    <col min="12528" max="12528" width="6.5703125" style="134" customWidth="1"/>
    <col min="12529" max="12529" width="40.140625" style="134" customWidth="1"/>
    <col min="12530" max="12530" width="16.42578125" style="134" customWidth="1"/>
    <col min="12531" max="12531" width="7.140625" style="134" customWidth="1"/>
    <col min="12532" max="12532" width="7.42578125" style="134" customWidth="1"/>
    <col min="12533" max="12536" width="16.42578125" style="134" customWidth="1"/>
    <col min="12537" max="12538" width="5.5703125" style="134" bestFit="1" customWidth="1"/>
    <col min="12539" max="12539" width="6" style="134" customWidth="1"/>
    <col min="12540" max="12783" width="9.140625" style="134"/>
    <col min="12784" max="12784" width="6.5703125" style="134" customWidth="1"/>
    <col min="12785" max="12785" width="40.140625" style="134" customWidth="1"/>
    <col min="12786" max="12786" width="16.42578125" style="134" customWidth="1"/>
    <col min="12787" max="12787" width="7.140625" style="134" customWidth="1"/>
    <col min="12788" max="12788" width="7.42578125" style="134" customWidth="1"/>
    <col min="12789" max="12792" width="16.42578125" style="134" customWidth="1"/>
    <col min="12793" max="12794" width="5.5703125" style="134" bestFit="1" customWidth="1"/>
    <col min="12795" max="12795" width="6" style="134" customWidth="1"/>
    <col min="12796" max="13039" width="9.140625" style="134"/>
    <col min="13040" max="13040" width="6.5703125" style="134" customWidth="1"/>
    <col min="13041" max="13041" width="40.140625" style="134" customWidth="1"/>
    <col min="13042" max="13042" width="16.42578125" style="134" customWidth="1"/>
    <col min="13043" max="13043" width="7.140625" style="134" customWidth="1"/>
    <col min="13044" max="13044" width="7.42578125" style="134" customWidth="1"/>
    <col min="13045" max="13048" width="16.42578125" style="134" customWidth="1"/>
    <col min="13049" max="13050" width="5.5703125" style="134" bestFit="1" customWidth="1"/>
    <col min="13051" max="13051" width="6" style="134" customWidth="1"/>
    <col min="13052" max="13295" width="9.140625" style="134"/>
    <col min="13296" max="13296" width="6.5703125" style="134" customWidth="1"/>
    <col min="13297" max="13297" width="40.140625" style="134" customWidth="1"/>
    <col min="13298" max="13298" width="16.42578125" style="134" customWidth="1"/>
    <col min="13299" max="13299" width="7.140625" style="134" customWidth="1"/>
    <col min="13300" max="13300" width="7.42578125" style="134" customWidth="1"/>
    <col min="13301" max="13304" width="16.42578125" style="134" customWidth="1"/>
    <col min="13305" max="13306" width="5.5703125" style="134" bestFit="1" customWidth="1"/>
    <col min="13307" max="13307" width="6" style="134" customWidth="1"/>
    <col min="13308" max="13551" width="9.140625" style="134"/>
    <col min="13552" max="13552" width="6.5703125" style="134" customWidth="1"/>
    <col min="13553" max="13553" width="40.140625" style="134" customWidth="1"/>
    <col min="13554" max="13554" width="16.42578125" style="134" customWidth="1"/>
    <col min="13555" max="13555" width="7.140625" style="134" customWidth="1"/>
    <col min="13556" max="13556" width="7.42578125" style="134" customWidth="1"/>
    <col min="13557" max="13560" width="16.42578125" style="134" customWidth="1"/>
    <col min="13561" max="13562" width="5.5703125" style="134" bestFit="1" customWidth="1"/>
    <col min="13563" max="13563" width="6" style="134" customWidth="1"/>
    <col min="13564" max="13807" width="9.140625" style="134"/>
    <col min="13808" max="13808" width="6.5703125" style="134" customWidth="1"/>
    <col min="13809" max="13809" width="40.140625" style="134" customWidth="1"/>
    <col min="13810" max="13810" width="16.42578125" style="134" customWidth="1"/>
    <col min="13811" max="13811" width="7.140625" style="134" customWidth="1"/>
    <col min="13812" max="13812" width="7.42578125" style="134" customWidth="1"/>
    <col min="13813" max="13816" width="16.42578125" style="134" customWidth="1"/>
    <col min="13817" max="13818" width="5.5703125" style="134" bestFit="1" customWidth="1"/>
    <col min="13819" max="13819" width="6" style="134" customWidth="1"/>
    <col min="13820" max="14063" width="9.140625" style="134"/>
    <col min="14064" max="14064" width="6.5703125" style="134" customWidth="1"/>
    <col min="14065" max="14065" width="40.140625" style="134" customWidth="1"/>
    <col min="14066" max="14066" width="16.42578125" style="134" customWidth="1"/>
    <col min="14067" max="14067" width="7.140625" style="134" customWidth="1"/>
    <col min="14068" max="14068" width="7.42578125" style="134" customWidth="1"/>
    <col min="14069" max="14072" width="16.42578125" style="134" customWidth="1"/>
    <col min="14073" max="14074" width="5.5703125" style="134" bestFit="1" customWidth="1"/>
    <col min="14075" max="14075" width="6" style="134" customWidth="1"/>
    <col min="14076" max="14319" width="9.140625" style="134"/>
    <col min="14320" max="14320" width="6.5703125" style="134" customWidth="1"/>
    <col min="14321" max="14321" width="40.140625" style="134" customWidth="1"/>
    <col min="14322" max="14322" width="16.42578125" style="134" customWidth="1"/>
    <col min="14323" max="14323" width="7.140625" style="134" customWidth="1"/>
    <col min="14324" max="14324" width="7.42578125" style="134" customWidth="1"/>
    <col min="14325" max="14328" width="16.42578125" style="134" customWidth="1"/>
    <col min="14329" max="14330" width="5.5703125" style="134" bestFit="1" customWidth="1"/>
    <col min="14331" max="14331" width="6" style="134" customWidth="1"/>
    <col min="14332" max="14575" width="9.140625" style="134"/>
    <col min="14576" max="14576" width="6.5703125" style="134" customWidth="1"/>
    <col min="14577" max="14577" width="40.140625" style="134" customWidth="1"/>
    <col min="14578" max="14578" width="16.42578125" style="134" customWidth="1"/>
    <col min="14579" max="14579" width="7.140625" style="134" customWidth="1"/>
    <col min="14580" max="14580" width="7.42578125" style="134" customWidth="1"/>
    <col min="14581" max="14584" width="16.42578125" style="134" customWidth="1"/>
    <col min="14585" max="14586" width="5.5703125" style="134" bestFit="1" customWidth="1"/>
    <col min="14587" max="14587" width="6" style="134" customWidth="1"/>
    <col min="14588" max="14831" width="9.140625" style="134"/>
    <col min="14832" max="14832" width="6.5703125" style="134" customWidth="1"/>
    <col min="14833" max="14833" width="40.140625" style="134" customWidth="1"/>
    <col min="14834" max="14834" width="16.42578125" style="134" customWidth="1"/>
    <col min="14835" max="14835" width="7.140625" style="134" customWidth="1"/>
    <col min="14836" max="14836" width="7.42578125" style="134" customWidth="1"/>
    <col min="14837" max="14840" width="16.42578125" style="134" customWidth="1"/>
    <col min="14841" max="14842" width="5.5703125" style="134" bestFit="1" customWidth="1"/>
    <col min="14843" max="14843" width="6" style="134" customWidth="1"/>
    <col min="14844" max="15087" width="9.140625" style="134"/>
    <col min="15088" max="15088" width="6.5703125" style="134" customWidth="1"/>
    <col min="15089" max="15089" width="40.140625" style="134" customWidth="1"/>
    <col min="15090" max="15090" width="16.42578125" style="134" customWidth="1"/>
    <col min="15091" max="15091" width="7.140625" style="134" customWidth="1"/>
    <col min="15092" max="15092" width="7.42578125" style="134" customWidth="1"/>
    <col min="15093" max="15096" width="16.42578125" style="134" customWidth="1"/>
    <col min="15097" max="15098" width="5.5703125" style="134" bestFit="1" customWidth="1"/>
    <col min="15099" max="15099" width="6" style="134" customWidth="1"/>
    <col min="15100" max="15343" width="9.140625" style="134"/>
    <col min="15344" max="15344" width="6.5703125" style="134" customWidth="1"/>
    <col min="15345" max="15345" width="40.140625" style="134" customWidth="1"/>
    <col min="15346" max="15346" width="16.42578125" style="134" customWidth="1"/>
    <col min="15347" max="15347" width="7.140625" style="134" customWidth="1"/>
    <col min="15348" max="15348" width="7.42578125" style="134" customWidth="1"/>
    <col min="15349" max="15352" width="16.42578125" style="134" customWidth="1"/>
    <col min="15353" max="15354" width="5.5703125" style="134" bestFit="1" customWidth="1"/>
    <col min="15355" max="15355" width="6" style="134" customWidth="1"/>
    <col min="15356" max="15599" width="9.140625" style="134"/>
    <col min="15600" max="15600" width="6.5703125" style="134" customWidth="1"/>
    <col min="15601" max="15601" width="40.140625" style="134" customWidth="1"/>
    <col min="15602" max="15602" width="16.42578125" style="134" customWidth="1"/>
    <col min="15603" max="15603" width="7.140625" style="134" customWidth="1"/>
    <col min="15604" max="15604" width="7.42578125" style="134" customWidth="1"/>
    <col min="15605" max="15608" width="16.42578125" style="134" customWidth="1"/>
    <col min="15609" max="15610" width="5.5703125" style="134" bestFit="1" customWidth="1"/>
    <col min="15611" max="15611" width="6" style="134" customWidth="1"/>
    <col min="15612" max="15855" width="9.140625" style="134"/>
    <col min="15856" max="15856" width="6.5703125" style="134" customWidth="1"/>
    <col min="15857" max="15857" width="40.140625" style="134" customWidth="1"/>
    <col min="15858" max="15858" width="16.42578125" style="134" customWidth="1"/>
    <col min="15859" max="15859" width="7.140625" style="134" customWidth="1"/>
    <col min="15860" max="15860" width="7.42578125" style="134" customWidth="1"/>
    <col min="15861" max="15864" width="16.42578125" style="134" customWidth="1"/>
    <col min="15865" max="15866" width="5.5703125" style="134" bestFit="1" customWidth="1"/>
    <col min="15867" max="15867" width="6" style="134" customWidth="1"/>
    <col min="15868" max="16111" width="9.140625" style="134"/>
    <col min="16112" max="16112" width="6.5703125" style="134" customWidth="1"/>
    <col min="16113" max="16113" width="40.140625" style="134" customWidth="1"/>
    <col min="16114" max="16114" width="16.42578125" style="134" customWidth="1"/>
    <col min="16115" max="16115" width="7.140625" style="134" customWidth="1"/>
    <col min="16116" max="16116" width="7.42578125" style="134" customWidth="1"/>
    <col min="16117" max="16120" width="16.42578125" style="134" customWidth="1"/>
    <col min="16121" max="16122" width="5.5703125" style="134" bestFit="1" customWidth="1"/>
    <col min="16123" max="16123" width="6" style="134" customWidth="1"/>
    <col min="16124" max="16384" width="9.140625" style="134"/>
  </cols>
  <sheetData>
    <row r="1" spans="2:12" s="6" customFormat="1" ht="45" customHeight="1" thickBot="1" x14ac:dyDescent="0.4">
      <c r="B1" s="424" t="s">
        <v>275</v>
      </c>
      <c r="C1" s="425"/>
      <c r="D1" s="426"/>
      <c r="E1" s="426"/>
      <c r="F1" s="426"/>
      <c r="G1" s="426"/>
      <c r="H1" s="427"/>
      <c r="L1" s="197"/>
    </row>
    <row r="2" spans="2:12" s="6" customFormat="1" ht="13.35" customHeight="1" x14ac:dyDescent="0.2">
      <c r="B2" s="317" t="s">
        <v>134</v>
      </c>
      <c r="C2" s="317"/>
      <c r="D2" s="428" t="s">
        <v>197</v>
      </c>
      <c r="E2" s="429"/>
      <c r="F2" s="429"/>
      <c r="G2" s="429"/>
      <c r="H2" s="430"/>
      <c r="K2" s="6" t="s">
        <v>282</v>
      </c>
      <c r="L2" s="197"/>
    </row>
    <row r="3" spans="2:12" s="6" customFormat="1" ht="15.6" customHeight="1" x14ac:dyDescent="0.2">
      <c r="B3" s="317" t="s">
        <v>5</v>
      </c>
      <c r="C3" s="317"/>
      <c r="D3" s="417" t="s">
        <v>182</v>
      </c>
      <c r="E3" s="418"/>
      <c r="F3" s="418"/>
      <c r="G3" s="418"/>
      <c r="H3" s="419"/>
      <c r="K3" s="6">
        <v>7</v>
      </c>
      <c r="L3" s="197"/>
    </row>
    <row r="4" spans="2:12" s="6" customFormat="1" ht="12.75" customHeight="1" x14ac:dyDescent="0.2">
      <c r="B4" s="317" t="s">
        <v>3</v>
      </c>
      <c r="C4" s="317"/>
      <c r="D4" s="417" t="s">
        <v>181</v>
      </c>
      <c r="E4" s="418"/>
      <c r="F4" s="418"/>
      <c r="G4" s="418"/>
      <c r="H4" s="419"/>
      <c r="K4" s="6" t="s">
        <v>260</v>
      </c>
      <c r="L4" s="197"/>
    </row>
    <row r="5" spans="2:12" s="6" customFormat="1" ht="13.35" customHeight="1" x14ac:dyDescent="0.2">
      <c r="B5" s="317" t="s">
        <v>8</v>
      </c>
      <c r="C5" s="317"/>
      <c r="D5" s="431">
        <v>43091</v>
      </c>
      <c r="E5" s="418"/>
      <c r="F5" s="418"/>
      <c r="G5" s="418"/>
      <c r="H5" s="419"/>
      <c r="K5" s="6" t="s">
        <v>261</v>
      </c>
      <c r="L5" s="197"/>
    </row>
    <row r="6" spans="2:12" s="6" customFormat="1" ht="13.35" customHeight="1" x14ac:dyDescent="0.2">
      <c r="B6" s="317" t="s">
        <v>68</v>
      </c>
      <c r="C6" s="317"/>
      <c r="D6" s="417" t="s">
        <v>264</v>
      </c>
      <c r="E6" s="418"/>
      <c r="F6" s="418"/>
      <c r="G6" s="418"/>
      <c r="H6" s="419"/>
      <c r="K6" s="6" t="s">
        <v>263</v>
      </c>
      <c r="L6" s="197"/>
    </row>
    <row r="7" spans="2:12" s="6" customFormat="1" ht="13.35" customHeight="1" x14ac:dyDescent="0.2">
      <c r="B7" s="317" t="s">
        <v>11</v>
      </c>
      <c r="C7" s="317"/>
      <c r="D7" s="417" t="s">
        <v>255</v>
      </c>
      <c r="E7" s="418"/>
      <c r="F7" s="418"/>
      <c r="G7" s="418"/>
      <c r="H7" s="419"/>
      <c r="K7" s="6" t="s">
        <v>198</v>
      </c>
      <c r="L7" s="197"/>
    </row>
    <row r="8" spans="2:12" s="6" customFormat="1" ht="13.35" customHeight="1" x14ac:dyDescent="0.2">
      <c r="B8" s="354" t="s">
        <v>12</v>
      </c>
      <c r="C8" s="355"/>
      <c r="D8" s="417" t="s">
        <v>40</v>
      </c>
      <c r="E8" s="418"/>
      <c r="F8" s="418"/>
      <c r="G8" s="418"/>
      <c r="H8" s="419"/>
      <c r="K8" s="6" t="s">
        <v>159</v>
      </c>
      <c r="L8" s="197"/>
    </row>
    <row r="9" spans="2:12" s="6" customFormat="1" ht="13.35" customHeight="1" x14ac:dyDescent="0.2">
      <c r="B9" s="354" t="s">
        <v>183</v>
      </c>
      <c r="C9" s="355"/>
      <c r="D9" s="417" t="s">
        <v>283</v>
      </c>
      <c r="E9" s="418"/>
      <c r="F9" s="418"/>
      <c r="G9" s="418"/>
      <c r="H9" s="419"/>
      <c r="L9" s="197"/>
    </row>
    <row r="10" spans="2:12" s="6" customFormat="1" ht="12.75" customHeight="1" x14ac:dyDescent="0.2">
      <c r="B10" s="354" t="s">
        <v>184</v>
      </c>
      <c r="C10" s="355"/>
      <c r="D10" s="417" t="s">
        <v>256</v>
      </c>
      <c r="E10" s="418"/>
      <c r="F10" s="418"/>
      <c r="G10" s="418"/>
      <c r="H10" s="419"/>
      <c r="L10" s="197"/>
    </row>
    <row r="11" spans="2:12" s="6" customFormat="1" ht="13.35" customHeight="1" x14ac:dyDescent="0.2">
      <c r="B11" s="354" t="s">
        <v>61</v>
      </c>
      <c r="C11" s="355"/>
      <c r="D11" s="417" t="s">
        <v>284</v>
      </c>
      <c r="E11" s="418"/>
      <c r="F11" s="418"/>
      <c r="G11" s="418"/>
      <c r="H11" s="419"/>
      <c r="L11" s="197"/>
    </row>
    <row r="12" spans="2:12" s="6" customFormat="1" ht="12.75" customHeight="1" x14ac:dyDescent="0.2">
      <c r="B12" s="354" t="s">
        <v>16</v>
      </c>
      <c r="C12" s="355"/>
      <c r="D12" s="417" t="s">
        <v>257</v>
      </c>
      <c r="E12" s="418"/>
      <c r="F12" s="418"/>
      <c r="G12" s="418"/>
      <c r="H12" s="419"/>
      <c r="L12" s="197"/>
    </row>
    <row r="13" spans="2:12" s="6" customFormat="1" ht="60" customHeight="1" x14ac:dyDescent="0.2">
      <c r="B13" s="361" t="s">
        <v>136</v>
      </c>
      <c r="C13" s="362"/>
      <c r="D13" s="420"/>
      <c r="E13" s="421"/>
      <c r="F13" s="421"/>
      <c r="G13" s="421"/>
      <c r="H13" s="422"/>
      <c r="L13" s="197"/>
    </row>
    <row r="14" spans="2:12" s="6" customFormat="1" ht="15.6" customHeight="1" x14ac:dyDescent="0.2">
      <c r="B14" s="338" t="s">
        <v>271</v>
      </c>
      <c r="C14" s="338"/>
      <c r="D14" s="338"/>
      <c r="E14" s="338"/>
      <c r="F14" s="338"/>
      <c r="G14" s="338"/>
      <c r="H14" s="338"/>
      <c r="K14" s="169"/>
      <c r="L14" s="197"/>
    </row>
    <row r="15" spans="2:12" x14ac:dyDescent="0.2">
      <c r="B15" s="156"/>
      <c r="C15" s="173"/>
      <c r="D15" s="136"/>
      <c r="E15" s="137"/>
      <c r="F15" s="137"/>
      <c r="G15" s="151"/>
      <c r="H15" s="157"/>
    </row>
    <row r="16" spans="2:12" x14ac:dyDescent="0.2">
      <c r="B16" s="156"/>
      <c r="C16" s="173" t="s">
        <v>241</v>
      </c>
      <c r="D16" s="138"/>
      <c r="E16" s="170">
        <v>20.0045</v>
      </c>
      <c r="F16" s="150"/>
      <c r="G16" s="150"/>
      <c r="H16" s="158"/>
      <c r="I16" s="141"/>
      <c r="K16" s="134">
        <v>20.001200000000001</v>
      </c>
      <c r="L16" s="135" t="s">
        <v>268</v>
      </c>
    </row>
    <row r="17" spans="1:12" x14ac:dyDescent="0.2">
      <c r="B17" s="156"/>
      <c r="C17" s="173" t="s">
        <v>242</v>
      </c>
      <c r="D17" s="138"/>
      <c r="E17" s="170">
        <v>19.9955</v>
      </c>
      <c r="F17" s="147"/>
      <c r="G17" s="150"/>
      <c r="H17" s="158"/>
      <c r="I17" s="141"/>
      <c r="K17" s="134">
        <v>19.998799999999999</v>
      </c>
      <c r="L17" s="135" t="s">
        <v>269</v>
      </c>
    </row>
    <row r="18" spans="1:12" x14ac:dyDescent="0.2">
      <c r="B18" s="156"/>
      <c r="C18" s="173"/>
      <c r="D18" s="138"/>
      <c r="E18" s="195"/>
      <c r="F18" s="146"/>
      <c r="G18" s="152"/>
      <c r="H18" s="159"/>
      <c r="I18" s="139"/>
      <c r="K18" s="134">
        <v>20</v>
      </c>
      <c r="L18" s="135" t="s">
        <v>266</v>
      </c>
    </row>
    <row r="19" spans="1:12" x14ac:dyDescent="0.2">
      <c r="B19" s="156"/>
      <c r="C19" s="173" t="s">
        <v>243</v>
      </c>
      <c r="D19" s="136"/>
      <c r="E19" s="171">
        <v>1.3579028808922613E-3</v>
      </c>
      <c r="F19" s="149"/>
      <c r="G19" s="155"/>
      <c r="H19" s="162"/>
      <c r="I19" s="144"/>
      <c r="K19" s="196">
        <v>6.9282032302798741E-4</v>
      </c>
      <c r="L19" s="198" t="s">
        <v>265</v>
      </c>
    </row>
    <row r="20" spans="1:12" x14ac:dyDescent="0.2">
      <c r="B20" s="156"/>
      <c r="C20" s="173" t="s">
        <v>0</v>
      </c>
      <c r="D20" s="136"/>
      <c r="E20" s="164">
        <v>0.95</v>
      </c>
      <c r="F20" s="148"/>
      <c r="G20" s="155"/>
      <c r="H20" s="162"/>
      <c r="I20" s="144"/>
    </row>
    <row r="21" spans="1:12" x14ac:dyDescent="0.2">
      <c r="B21" s="156"/>
      <c r="C21" s="173"/>
      <c r="D21" s="138"/>
      <c r="E21" s="145"/>
      <c r="F21" s="145"/>
      <c r="G21" s="153"/>
      <c r="H21" s="160"/>
      <c r="I21" s="142"/>
    </row>
    <row r="22" spans="1:12" x14ac:dyDescent="0.2">
      <c r="B22" s="156"/>
      <c r="C22" s="173" t="s">
        <v>278</v>
      </c>
      <c r="D22" s="138"/>
      <c r="E22" s="165">
        <f xml:space="preserve"> vbaIsZero(CalcTAR(K18,E30,E17,E16,K17,K16))</f>
        <v>3.7499999999977796</v>
      </c>
      <c r="F22" s="146"/>
      <c r="G22" s="150"/>
      <c r="H22" s="158"/>
      <c r="I22" s="141"/>
    </row>
    <row r="23" spans="1:12" x14ac:dyDescent="0.2">
      <c r="B23" s="156"/>
      <c r="C23" s="173" t="s">
        <v>279</v>
      </c>
      <c r="D23" s="138"/>
      <c r="E23" s="165">
        <f xml:space="preserve"> vbaIsZero(CalcTUR(K18,E30,E17,E16,E19))</f>
        <v>3.3139336128687464</v>
      </c>
      <c r="F23" s="146"/>
      <c r="G23" s="150"/>
      <c r="H23" s="158"/>
      <c r="I23" s="141"/>
    </row>
    <row r="24" spans="1:12" x14ac:dyDescent="0.2">
      <c r="B24" s="156"/>
      <c r="C24" s="173"/>
      <c r="D24" s="138"/>
      <c r="E24" s="145"/>
      <c r="F24" s="145"/>
      <c r="G24" s="154"/>
      <c r="H24" s="161"/>
      <c r="I24" s="143"/>
    </row>
    <row r="25" spans="1:12" x14ac:dyDescent="0.2">
      <c r="B25" s="156"/>
      <c r="C25" s="173" t="s">
        <v>245</v>
      </c>
      <c r="D25" s="138"/>
      <c r="E25" s="172">
        <v>0.02</v>
      </c>
      <c r="F25" s="145"/>
      <c r="G25" s="150"/>
      <c r="H25" s="158"/>
      <c r="I25" s="141"/>
    </row>
    <row r="26" spans="1:12" x14ac:dyDescent="0.2">
      <c r="B26" s="156"/>
      <c r="C26" s="173" t="s">
        <v>276</v>
      </c>
      <c r="D26" s="138"/>
      <c r="E26" s="172">
        <v>0.85</v>
      </c>
      <c r="F26" s="145"/>
      <c r="G26" s="150"/>
      <c r="H26" s="158"/>
      <c r="I26" s="141"/>
    </row>
    <row r="27" spans="1:12" x14ac:dyDescent="0.2">
      <c r="B27" s="156"/>
      <c r="C27" s="173"/>
      <c r="D27" s="138"/>
      <c r="E27" s="146"/>
      <c r="F27" s="146"/>
      <c r="G27" s="151"/>
      <c r="H27" s="157"/>
    </row>
    <row r="28" spans="1:12" x14ac:dyDescent="0.2">
      <c r="B28" s="156"/>
      <c r="C28" s="173" t="s">
        <v>272</v>
      </c>
      <c r="D28" s="138"/>
      <c r="E28" s="133">
        <v>0.85</v>
      </c>
      <c r="F28" s="148"/>
      <c r="G28" s="153"/>
      <c r="H28" s="160"/>
      <c r="I28" s="142"/>
    </row>
    <row r="29" spans="1:12" customFormat="1" x14ac:dyDescent="0.2">
      <c r="A29" s="134"/>
      <c r="B29" s="182"/>
      <c r="C29" s="183" t="s">
        <v>267</v>
      </c>
      <c r="D29" s="184"/>
      <c r="E29" s="199">
        <v>24</v>
      </c>
      <c r="F29" s="186"/>
      <c r="G29" s="187"/>
      <c r="H29" s="188"/>
      <c r="L29" s="1"/>
    </row>
    <row r="30" spans="1:12" x14ac:dyDescent="0.2">
      <c r="B30" s="156"/>
      <c r="C30" s="173" t="s">
        <v>280</v>
      </c>
      <c r="D30" s="138"/>
      <c r="E30" s="140"/>
      <c r="F30" s="148"/>
      <c r="G30" s="153"/>
      <c r="H30" s="160"/>
      <c r="I30" s="142"/>
    </row>
    <row r="31" spans="1:12" x14ac:dyDescent="0.2">
      <c r="B31" s="156"/>
      <c r="C31" s="173"/>
      <c r="D31" s="138"/>
      <c r="E31" s="195"/>
      <c r="F31" s="145"/>
      <c r="G31" s="154"/>
      <c r="H31" s="161"/>
      <c r="I31" s="143"/>
    </row>
    <row r="32" spans="1:12" customFormat="1" ht="15.75" x14ac:dyDescent="0.2">
      <c r="A32" s="6"/>
      <c r="B32" s="423" t="s">
        <v>270</v>
      </c>
      <c r="C32" s="423"/>
      <c r="D32" s="423"/>
      <c r="E32" s="423"/>
      <c r="F32" s="423"/>
      <c r="G32" s="423"/>
      <c r="H32" s="423"/>
    </row>
    <row r="33" spans="1:12" customFormat="1" x14ac:dyDescent="0.2">
      <c r="A33" s="134"/>
      <c r="B33" s="182"/>
      <c r="C33" s="183"/>
      <c r="D33" s="200"/>
      <c r="E33" s="187"/>
      <c r="F33" s="187"/>
      <c r="G33" s="187"/>
      <c r="H33" s="188"/>
    </row>
    <row r="34" spans="1:12" x14ac:dyDescent="0.2">
      <c r="B34" s="156"/>
      <c r="C34" s="173" t="s">
        <v>251</v>
      </c>
      <c r="D34" s="138"/>
      <c r="E34" s="166" t="str">
        <f xml:space="preserve"> vbaIsError(PFAmgr(K18, E30, E17, E16, K19, E28 ))</f>
        <v/>
      </c>
      <c r="F34" s="145"/>
      <c r="G34" s="152"/>
      <c r="H34" s="159"/>
      <c r="I34" s="139"/>
    </row>
    <row r="35" spans="1:12" x14ac:dyDescent="0.2">
      <c r="B35" s="156"/>
      <c r="C35" s="173" t="s">
        <v>252</v>
      </c>
      <c r="D35" s="138"/>
      <c r="E35" s="166" t="str">
        <f xml:space="preserve"> vbaIsError(PFRmgr(K18, E30, E17, E16, K19, E28 ))</f>
        <v/>
      </c>
      <c r="F35" s="145"/>
      <c r="G35" s="154"/>
      <c r="H35" s="161"/>
      <c r="I35" s="143"/>
    </row>
    <row r="36" spans="1:12" x14ac:dyDescent="0.2">
      <c r="B36" s="156"/>
      <c r="C36" s="173" t="s">
        <v>244</v>
      </c>
      <c r="D36" s="138"/>
      <c r="E36" s="166" t="str">
        <f xml:space="preserve"> vbaIsError(E34+E35)</f>
        <v/>
      </c>
      <c r="F36" s="145"/>
      <c r="G36" s="154"/>
      <c r="H36" s="161"/>
      <c r="I36" s="143"/>
    </row>
    <row r="37" spans="1:12" x14ac:dyDescent="0.2">
      <c r="B37" s="156"/>
      <c r="C37" s="173"/>
      <c r="D37" s="138"/>
      <c r="E37" s="138"/>
      <c r="F37" s="145"/>
      <c r="G37" s="154"/>
      <c r="H37" s="163"/>
      <c r="I37" s="143"/>
    </row>
    <row r="38" spans="1:12" s="6" customFormat="1" ht="15.6" customHeight="1" x14ac:dyDescent="0.2">
      <c r="B38" s="414" t="s">
        <v>277</v>
      </c>
      <c r="C38" s="415"/>
      <c r="D38" s="415"/>
      <c r="E38" s="415"/>
      <c r="F38" s="415"/>
      <c r="G38" s="415"/>
      <c r="H38" s="416"/>
      <c r="K38" s="169"/>
      <c r="L38" s="197"/>
    </row>
    <row r="39" spans="1:12" x14ac:dyDescent="0.2">
      <c r="B39" s="156"/>
      <c r="C39" s="173"/>
      <c r="D39" s="138"/>
      <c r="E39" s="145"/>
      <c r="F39" s="145"/>
      <c r="G39" s="150"/>
      <c r="H39" s="158"/>
      <c r="I39" s="141"/>
    </row>
    <row r="40" spans="1:12" x14ac:dyDescent="0.2">
      <c r="B40" s="156"/>
      <c r="C40" s="173" t="s">
        <v>247</v>
      </c>
      <c r="D40" s="138"/>
      <c r="E40" s="168">
        <f xml:space="preserve"> vbaIsError(GBUpMgr(E25, K18, E30, E17, E16, K19, E26 ))</f>
        <v>20.0045</v>
      </c>
      <c r="F40" s="147"/>
      <c r="G40" s="151"/>
      <c r="H40" s="157"/>
    </row>
    <row r="41" spans="1:12" x14ac:dyDescent="0.2">
      <c r="B41" s="156"/>
      <c r="C41" s="173" t="s">
        <v>248</v>
      </c>
      <c r="D41" s="138"/>
      <c r="E41" s="168">
        <f xml:space="preserve"> vbaIsError(GBLowMgr(E25, K18, E30, E17, E16, K19, E26 ))</f>
        <v>19.9955</v>
      </c>
      <c r="F41" s="147"/>
      <c r="G41" s="151"/>
      <c r="H41" s="157"/>
    </row>
    <row r="42" spans="1:12" x14ac:dyDescent="0.2">
      <c r="B42" s="156"/>
      <c r="C42" s="173" t="s">
        <v>249</v>
      </c>
      <c r="D42" s="138"/>
      <c r="E42" s="166">
        <f xml:space="preserve"> vbaIsError(GBMultmgr(E25, K18, E30, E17, E16, K19, E26 ))</f>
        <v>4255.5555555553947</v>
      </c>
      <c r="F42" s="145"/>
      <c r="G42" s="151"/>
      <c r="H42" s="157"/>
    </row>
    <row r="43" spans="1:12" x14ac:dyDescent="0.2">
      <c r="B43" s="156"/>
      <c r="C43" s="173"/>
      <c r="D43" s="138"/>
      <c r="E43" s="167"/>
      <c r="F43" s="145"/>
      <c r="G43" s="151"/>
      <c r="H43" s="157"/>
    </row>
    <row r="44" spans="1:12" x14ac:dyDescent="0.2">
      <c r="B44" s="156"/>
      <c r="C44" s="173" t="s">
        <v>253</v>
      </c>
      <c r="D44" s="138"/>
      <c r="E44" s="166">
        <f xml:space="preserve"> vbaIsError(PFAWGBmgr(K18, E30, E17, E16, K19, E26, E41, E40 ))</f>
        <v>1.9743441415176893E-2</v>
      </c>
      <c r="F44" s="145"/>
      <c r="G44" s="154"/>
      <c r="H44" s="161"/>
      <c r="I44" s="143"/>
    </row>
    <row r="45" spans="1:12" x14ac:dyDescent="0.2">
      <c r="B45" s="156"/>
      <c r="C45" s="173" t="s">
        <v>254</v>
      </c>
      <c r="D45" s="138"/>
      <c r="E45" s="166">
        <f xml:space="preserve"> vbaIsError(PFRWGBmgr(K18, E30, E17, E16, K19, E26, E41, E40 ))</f>
        <v>2.9865191821846077E-2</v>
      </c>
      <c r="F45" s="145"/>
      <c r="G45" s="154"/>
      <c r="H45" s="161"/>
      <c r="I45" s="143"/>
    </row>
    <row r="46" spans="1:12" x14ac:dyDescent="0.2">
      <c r="B46" s="156"/>
      <c r="C46" s="173" t="s">
        <v>246</v>
      </c>
      <c r="D46" s="138"/>
      <c r="E46" s="166">
        <f xml:space="preserve"> vbaIsError(E44+E45)</f>
        <v>4.960863323702297E-2</v>
      </c>
      <c r="F46" s="145"/>
      <c r="G46" s="152"/>
      <c r="H46" s="159"/>
      <c r="I46" s="139"/>
    </row>
    <row r="47" spans="1:12" x14ac:dyDescent="0.2">
      <c r="B47" s="156"/>
      <c r="C47" s="173"/>
      <c r="D47" s="138"/>
      <c r="E47" s="152"/>
      <c r="F47" s="145"/>
      <c r="G47" s="152"/>
      <c r="H47" s="159"/>
      <c r="I47" s="139"/>
    </row>
    <row r="48" spans="1:12" customFormat="1" x14ac:dyDescent="0.2">
      <c r="A48" s="134"/>
      <c r="B48" s="182"/>
      <c r="C48" s="201" t="s">
        <v>281</v>
      </c>
      <c r="D48" s="184"/>
      <c r="E48" s="189"/>
      <c r="F48" s="185"/>
      <c r="G48" s="187"/>
      <c r="H48" s="188"/>
    </row>
    <row r="49" spans="1:12" customFormat="1" x14ac:dyDescent="0.2">
      <c r="A49" s="134"/>
      <c r="B49" s="182"/>
      <c r="C49" s="202" t="s">
        <v>273</v>
      </c>
      <c r="D49" s="184"/>
      <c r="E49" s="203" t="str">
        <f xml:space="preserve"> vbaIsError(CalIntwGBMgr("Measured",K18,E30,E17,E16,K19,E26,E28,E41,E40,E23,E23,E29))</f>
        <v/>
      </c>
      <c r="F49" s="186"/>
      <c r="G49" s="187"/>
      <c r="H49" s="188"/>
    </row>
    <row r="50" spans="1:12" customFormat="1" x14ac:dyDescent="0.2">
      <c r="A50" s="134"/>
      <c r="B50" s="182"/>
      <c r="C50" s="204" t="s">
        <v>274</v>
      </c>
      <c r="D50" s="184"/>
      <c r="E50" s="205" t="str">
        <f xml:space="preserve"> vbaIsError(CalRelwGBMgr("Measured",K18,E30,E17,E16,K19,E28,E41,E40,E23,E23,E29,E49))</f>
        <v/>
      </c>
      <c r="F50" s="186"/>
      <c r="G50" s="187"/>
      <c r="H50" s="188"/>
    </row>
    <row r="51" spans="1:12" customFormat="1" x14ac:dyDescent="0.2">
      <c r="A51" s="134"/>
      <c r="B51" s="190"/>
      <c r="C51" s="191"/>
      <c r="D51" s="192"/>
      <c r="E51" s="193"/>
      <c r="F51" s="193"/>
      <c r="G51" s="193"/>
      <c r="H51" s="194"/>
      <c r="L51" s="1"/>
    </row>
  </sheetData>
  <sheetProtection sheet="1" objects="1" scenarios="1" formatCells="0" formatColumns="0" formatRows="0" sort="0" autoFilter="0"/>
  <mergeCells count="28">
    <mergeCell ref="B8:C8"/>
    <mergeCell ref="D8:H8"/>
    <mergeCell ref="B5:C5"/>
    <mergeCell ref="D5:H5"/>
    <mergeCell ref="B6:C6"/>
    <mergeCell ref="D6:H6"/>
    <mergeCell ref="B7:C7"/>
    <mergeCell ref="D7:H7"/>
    <mergeCell ref="B4:C4"/>
    <mergeCell ref="D4:H4"/>
    <mergeCell ref="B1:H1"/>
    <mergeCell ref="B2:C2"/>
    <mergeCell ref="D2:H2"/>
    <mergeCell ref="B3:C3"/>
    <mergeCell ref="D3:H3"/>
    <mergeCell ref="B9:C9"/>
    <mergeCell ref="D9:H9"/>
    <mergeCell ref="B10:C10"/>
    <mergeCell ref="D10:H10"/>
    <mergeCell ref="B14:H14"/>
    <mergeCell ref="B38:H38"/>
    <mergeCell ref="B11:C11"/>
    <mergeCell ref="D11:H11"/>
    <mergeCell ref="B12:C12"/>
    <mergeCell ref="D12:H12"/>
    <mergeCell ref="B13:C13"/>
    <mergeCell ref="D13:H13"/>
    <mergeCell ref="B32:H32"/>
  </mergeCells>
  <pageMargins left="0.7" right="0.7" top="0.75" bottom="0.75" header="0.3" footer="0.3"/>
  <pageSetup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595" r:id="rId4" name="btnUncReturn">
              <controlPr defaultSize="0" print="0" autoFill="0" autoPict="0" macro="[0]!RiskReport.btnGBReturn_click">
                <anchor>
                  <from>
                    <xdr:col>0</xdr:col>
                    <xdr:colOff>66675</xdr:colOff>
                    <xdr:row>0</xdr:row>
                    <xdr:rowOff>85725</xdr:rowOff>
                  </from>
                  <to>
                    <xdr:col>0</xdr:col>
                    <xdr:colOff>942975</xdr:colOff>
                    <xdr:row>0</xdr:row>
                    <xdr:rowOff>504825</xdr:rowOff>
                  </to>
                </anchor>
              </controlPr>
            </control>
          </mc:Choice>
        </mc:AlternateContent>
        <mc:AlternateContent xmlns:mc="http://schemas.openxmlformats.org/markup-compatibility/2006">
          <mc:Choice Requires="x14">
            <control shapeId="238596" r:id="rId5" name="btnCancel">
              <controlPr defaultSize="0" print="0" autoFill="0" autoPict="0" macro="[0]!RiskReport.btnGBCancel_click">
                <anchor>
                  <from>
                    <xdr:col>0</xdr:col>
                    <xdr:colOff>66675</xdr:colOff>
                    <xdr:row>0</xdr:row>
                    <xdr:rowOff>523875</xdr:rowOff>
                  </from>
                  <to>
                    <xdr:col>0</xdr:col>
                    <xdr:colOff>942975</xdr:colOff>
                    <xdr:row>3</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ssumed">
    <pageSetUpPr fitToPage="1"/>
  </sheetPr>
  <dimension ref="A1:L67"/>
  <sheetViews>
    <sheetView showGridLines="0" zoomScaleNormal="100" workbookViewId="0">
      <selection activeCell="E44" sqref="E44"/>
    </sheetView>
  </sheetViews>
  <sheetFormatPr defaultRowHeight="12.75" x14ac:dyDescent="0.2"/>
  <cols>
    <col min="1" max="1" width="17.85546875" style="6" customWidth="1"/>
    <col min="2" max="2" width="6.85546875" style="6" customWidth="1"/>
    <col min="3" max="3" width="40.85546875" style="6" customWidth="1"/>
    <col min="4" max="4" width="5.140625" style="6" customWidth="1"/>
    <col min="5" max="5" width="15.140625" style="6" customWidth="1"/>
    <col min="6" max="6" width="7.85546875" style="6" customWidth="1"/>
    <col min="7" max="8" width="10.85546875" style="6" customWidth="1"/>
    <col min="9" max="10" width="8.85546875" style="6"/>
    <col min="11" max="11" width="12.5703125" style="64" hidden="1" customWidth="1"/>
    <col min="12" max="12" width="8.85546875" style="6" hidden="1" customWidth="1"/>
    <col min="13" max="256" width="8.85546875" style="6"/>
    <col min="257" max="257" width="17.85546875" style="6" customWidth="1"/>
    <col min="258" max="258" width="6.85546875" style="6" customWidth="1"/>
    <col min="259" max="259" width="40.85546875" style="6" customWidth="1"/>
    <col min="260" max="260" width="5.140625" style="6" customWidth="1"/>
    <col min="261" max="261" width="15.140625" style="6" customWidth="1"/>
    <col min="262" max="262" width="7.85546875" style="6" customWidth="1"/>
    <col min="263" max="264" width="10.85546875" style="6" customWidth="1"/>
    <col min="265" max="266" width="8.85546875" style="6"/>
    <col min="267" max="268" width="0" style="6" hidden="1" customWidth="1"/>
    <col min="269" max="512" width="8.85546875" style="6"/>
    <col min="513" max="513" width="17.85546875" style="6" customWidth="1"/>
    <col min="514" max="514" width="6.85546875" style="6" customWidth="1"/>
    <col min="515" max="515" width="40.85546875" style="6" customWidth="1"/>
    <col min="516" max="516" width="5.140625" style="6" customWidth="1"/>
    <col min="517" max="517" width="15.140625" style="6" customWidth="1"/>
    <col min="518" max="518" width="7.85546875" style="6" customWidth="1"/>
    <col min="519" max="520" width="10.85546875" style="6" customWidth="1"/>
    <col min="521" max="522" width="8.85546875" style="6"/>
    <col min="523" max="524" width="0" style="6" hidden="1" customWidth="1"/>
    <col min="525" max="768" width="8.85546875" style="6"/>
    <col min="769" max="769" width="17.85546875" style="6" customWidth="1"/>
    <col min="770" max="770" width="6.85546875" style="6" customWidth="1"/>
    <col min="771" max="771" width="40.85546875" style="6" customWidth="1"/>
    <col min="772" max="772" width="5.140625" style="6" customWidth="1"/>
    <col min="773" max="773" width="15.140625" style="6" customWidth="1"/>
    <col min="774" max="774" width="7.85546875" style="6" customWidth="1"/>
    <col min="775" max="776" width="10.85546875" style="6" customWidth="1"/>
    <col min="777" max="778" width="8.85546875" style="6"/>
    <col min="779" max="780" width="0" style="6" hidden="1" customWidth="1"/>
    <col min="781" max="1024" width="8.85546875" style="6"/>
    <col min="1025" max="1025" width="17.85546875" style="6" customWidth="1"/>
    <col min="1026" max="1026" width="6.85546875" style="6" customWidth="1"/>
    <col min="1027" max="1027" width="40.85546875" style="6" customWidth="1"/>
    <col min="1028" max="1028" width="5.140625" style="6" customWidth="1"/>
    <col min="1029" max="1029" width="15.140625" style="6" customWidth="1"/>
    <col min="1030" max="1030" width="7.85546875" style="6" customWidth="1"/>
    <col min="1031" max="1032" width="10.85546875" style="6" customWidth="1"/>
    <col min="1033" max="1034" width="8.85546875" style="6"/>
    <col min="1035" max="1036" width="0" style="6" hidden="1" customWidth="1"/>
    <col min="1037" max="1280" width="8.85546875" style="6"/>
    <col min="1281" max="1281" width="17.85546875" style="6" customWidth="1"/>
    <col min="1282" max="1282" width="6.85546875" style="6" customWidth="1"/>
    <col min="1283" max="1283" width="40.85546875" style="6" customWidth="1"/>
    <col min="1284" max="1284" width="5.140625" style="6" customWidth="1"/>
    <col min="1285" max="1285" width="15.140625" style="6" customWidth="1"/>
    <col min="1286" max="1286" width="7.85546875" style="6" customWidth="1"/>
    <col min="1287" max="1288" width="10.85546875" style="6" customWidth="1"/>
    <col min="1289" max="1290" width="8.85546875" style="6"/>
    <col min="1291" max="1292" width="0" style="6" hidden="1" customWidth="1"/>
    <col min="1293" max="1536" width="8.85546875" style="6"/>
    <col min="1537" max="1537" width="17.85546875" style="6" customWidth="1"/>
    <col min="1538" max="1538" width="6.85546875" style="6" customWidth="1"/>
    <col min="1539" max="1539" width="40.85546875" style="6" customWidth="1"/>
    <col min="1540" max="1540" width="5.140625" style="6" customWidth="1"/>
    <col min="1541" max="1541" width="15.140625" style="6" customWidth="1"/>
    <col min="1542" max="1542" width="7.85546875" style="6" customWidth="1"/>
    <col min="1543" max="1544" width="10.85546875" style="6" customWidth="1"/>
    <col min="1545" max="1546" width="8.85546875" style="6"/>
    <col min="1547" max="1548" width="0" style="6" hidden="1" customWidth="1"/>
    <col min="1549" max="1792" width="8.85546875" style="6"/>
    <col min="1793" max="1793" width="17.85546875" style="6" customWidth="1"/>
    <col min="1794" max="1794" width="6.85546875" style="6" customWidth="1"/>
    <col min="1795" max="1795" width="40.85546875" style="6" customWidth="1"/>
    <col min="1796" max="1796" width="5.140625" style="6" customWidth="1"/>
    <col min="1797" max="1797" width="15.140625" style="6" customWidth="1"/>
    <col min="1798" max="1798" width="7.85546875" style="6" customWidth="1"/>
    <col min="1799" max="1800" width="10.85546875" style="6" customWidth="1"/>
    <col min="1801" max="1802" width="8.85546875" style="6"/>
    <col min="1803" max="1804" width="0" style="6" hidden="1" customWidth="1"/>
    <col min="1805" max="2048" width="8.85546875" style="6"/>
    <col min="2049" max="2049" width="17.85546875" style="6" customWidth="1"/>
    <col min="2050" max="2050" width="6.85546875" style="6" customWidth="1"/>
    <col min="2051" max="2051" width="40.85546875" style="6" customWidth="1"/>
    <col min="2052" max="2052" width="5.140625" style="6" customWidth="1"/>
    <col min="2053" max="2053" width="15.140625" style="6" customWidth="1"/>
    <col min="2054" max="2054" width="7.85546875" style="6" customWidth="1"/>
    <col min="2055" max="2056" width="10.85546875" style="6" customWidth="1"/>
    <col min="2057" max="2058" width="8.85546875" style="6"/>
    <col min="2059" max="2060" width="0" style="6" hidden="1" customWidth="1"/>
    <col min="2061" max="2304" width="8.85546875" style="6"/>
    <col min="2305" max="2305" width="17.85546875" style="6" customWidth="1"/>
    <col min="2306" max="2306" width="6.85546875" style="6" customWidth="1"/>
    <col min="2307" max="2307" width="40.85546875" style="6" customWidth="1"/>
    <col min="2308" max="2308" width="5.140625" style="6" customWidth="1"/>
    <col min="2309" max="2309" width="15.140625" style="6" customWidth="1"/>
    <col min="2310" max="2310" width="7.85546875" style="6" customWidth="1"/>
    <col min="2311" max="2312" width="10.85546875" style="6" customWidth="1"/>
    <col min="2313" max="2314" width="8.85546875" style="6"/>
    <col min="2315" max="2316" width="0" style="6" hidden="1" customWidth="1"/>
    <col min="2317" max="2560" width="8.85546875" style="6"/>
    <col min="2561" max="2561" width="17.85546875" style="6" customWidth="1"/>
    <col min="2562" max="2562" width="6.85546875" style="6" customWidth="1"/>
    <col min="2563" max="2563" width="40.85546875" style="6" customWidth="1"/>
    <col min="2564" max="2564" width="5.140625" style="6" customWidth="1"/>
    <col min="2565" max="2565" width="15.140625" style="6" customWidth="1"/>
    <col min="2566" max="2566" width="7.85546875" style="6" customWidth="1"/>
    <col min="2567" max="2568" width="10.85546875" style="6" customWidth="1"/>
    <col min="2569" max="2570" width="8.85546875" style="6"/>
    <col min="2571" max="2572" width="0" style="6" hidden="1" customWidth="1"/>
    <col min="2573" max="2816" width="8.85546875" style="6"/>
    <col min="2817" max="2817" width="17.85546875" style="6" customWidth="1"/>
    <col min="2818" max="2818" width="6.85546875" style="6" customWidth="1"/>
    <col min="2819" max="2819" width="40.85546875" style="6" customWidth="1"/>
    <col min="2820" max="2820" width="5.140625" style="6" customWidth="1"/>
    <col min="2821" max="2821" width="15.140625" style="6" customWidth="1"/>
    <col min="2822" max="2822" width="7.85546875" style="6" customWidth="1"/>
    <col min="2823" max="2824" width="10.85546875" style="6" customWidth="1"/>
    <col min="2825" max="2826" width="8.85546875" style="6"/>
    <col min="2827" max="2828" width="0" style="6" hidden="1" customWidth="1"/>
    <col min="2829" max="3072" width="8.85546875" style="6"/>
    <col min="3073" max="3073" width="17.85546875" style="6" customWidth="1"/>
    <col min="3074" max="3074" width="6.85546875" style="6" customWidth="1"/>
    <col min="3075" max="3075" width="40.85546875" style="6" customWidth="1"/>
    <col min="3076" max="3076" width="5.140625" style="6" customWidth="1"/>
    <col min="3077" max="3077" width="15.140625" style="6" customWidth="1"/>
    <col min="3078" max="3078" width="7.85546875" style="6" customWidth="1"/>
    <col min="3079" max="3080" width="10.85546875" style="6" customWidth="1"/>
    <col min="3081" max="3082" width="8.85546875" style="6"/>
    <col min="3083" max="3084" width="0" style="6" hidden="1" customWidth="1"/>
    <col min="3085" max="3328" width="8.85546875" style="6"/>
    <col min="3329" max="3329" width="17.85546875" style="6" customWidth="1"/>
    <col min="3330" max="3330" width="6.85546875" style="6" customWidth="1"/>
    <col min="3331" max="3331" width="40.85546875" style="6" customWidth="1"/>
    <col min="3332" max="3332" width="5.140625" style="6" customWidth="1"/>
    <col min="3333" max="3333" width="15.140625" style="6" customWidth="1"/>
    <col min="3334" max="3334" width="7.85546875" style="6" customWidth="1"/>
    <col min="3335" max="3336" width="10.85546875" style="6" customWidth="1"/>
    <col min="3337" max="3338" width="8.85546875" style="6"/>
    <col min="3339" max="3340" width="0" style="6" hidden="1" customWidth="1"/>
    <col min="3341" max="3584" width="8.85546875" style="6"/>
    <col min="3585" max="3585" width="17.85546875" style="6" customWidth="1"/>
    <col min="3586" max="3586" width="6.85546875" style="6" customWidth="1"/>
    <col min="3587" max="3587" width="40.85546875" style="6" customWidth="1"/>
    <col min="3588" max="3588" width="5.140625" style="6" customWidth="1"/>
    <col min="3589" max="3589" width="15.140625" style="6" customWidth="1"/>
    <col min="3590" max="3590" width="7.85546875" style="6" customWidth="1"/>
    <col min="3591" max="3592" width="10.85546875" style="6" customWidth="1"/>
    <col min="3593" max="3594" width="8.85546875" style="6"/>
    <col min="3595" max="3596" width="0" style="6" hidden="1" customWidth="1"/>
    <col min="3597" max="3840" width="8.85546875" style="6"/>
    <col min="3841" max="3841" width="17.85546875" style="6" customWidth="1"/>
    <col min="3842" max="3842" width="6.85546875" style="6" customWidth="1"/>
    <col min="3843" max="3843" width="40.85546875" style="6" customWidth="1"/>
    <col min="3844" max="3844" width="5.140625" style="6" customWidth="1"/>
    <col min="3845" max="3845" width="15.140625" style="6" customWidth="1"/>
    <col min="3846" max="3846" width="7.85546875" style="6" customWidth="1"/>
    <col min="3847" max="3848" width="10.85546875" style="6" customWidth="1"/>
    <col min="3849" max="3850" width="8.85546875" style="6"/>
    <col min="3851" max="3852" width="0" style="6" hidden="1" customWidth="1"/>
    <col min="3853" max="4096" width="8.85546875" style="6"/>
    <col min="4097" max="4097" width="17.85546875" style="6" customWidth="1"/>
    <col min="4098" max="4098" width="6.85546875" style="6" customWidth="1"/>
    <col min="4099" max="4099" width="40.85546875" style="6" customWidth="1"/>
    <col min="4100" max="4100" width="5.140625" style="6" customWidth="1"/>
    <col min="4101" max="4101" width="15.140625" style="6" customWidth="1"/>
    <col min="4102" max="4102" width="7.85546875" style="6" customWidth="1"/>
    <col min="4103" max="4104" width="10.85546875" style="6" customWidth="1"/>
    <col min="4105" max="4106" width="8.85546875" style="6"/>
    <col min="4107" max="4108" width="0" style="6" hidden="1" customWidth="1"/>
    <col min="4109" max="4352" width="8.85546875" style="6"/>
    <col min="4353" max="4353" width="17.85546875" style="6" customWidth="1"/>
    <col min="4354" max="4354" width="6.85546875" style="6" customWidth="1"/>
    <col min="4355" max="4355" width="40.85546875" style="6" customWidth="1"/>
    <col min="4356" max="4356" width="5.140625" style="6" customWidth="1"/>
    <col min="4357" max="4357" width="15.140625" style="6" customWidth="1"/>
    <col min="4358" max="4358" width="7.85546875" style="6" customWidth="1"/>
    <col min="4359" max="4360" width="10.85546875" style="6" customWidth="1"/>
    <col min="4361" max="4362" width="8.85546875" style="6"/>
    <col min="4363" max="4364" width="0" style="6" hidden="1" customWidth="1"/>
    <col min="4365" max="4608" width="8.85546875" style="6"/>
    <col min="4609" max="4609" width="17.85546875" style="6" customWidth="1"/>
    <col min="4610" max="4610" width="6.85546875" style="6" customWidth="1"/>
    <col min="4611" max="4611" width="40.85546875" style="6" customWidth="1"/>
    <col min="4612" max="4612" width="5.140625" style="6" customWidth="1"/>
    <col min="4613" max="4613" width="15.140625" style="6" customWidth="1"/>
    <col min="4614" max="4614" width="7.85546875" style="6" customWidth="1"/>
    <col min="4615" max="4616" width="10.85546875" style="6" customWidth="1"/>
    <col min="4617" max="4618" width="8.85546875" style="6"/>
    <col min="4619" max="4620" width="0" style="6" hidden="1" customWidth="1"/>
    <col min="4621" max="4864" width="8.85546875" style="6"/>
    <col min="4865" max="4865" width="17.85546875" style="6" customWidth="1"/>
    <col min="4866" max="4866" width="6.85546875" style="6" customWidth="1"/>
    <col min="4867" max="4867" width="40.85546875" style="6" customWidth="1"/>
    <col min="4868" max="4868" width="5.140625" style="6" customWidth="1"/>
    <col min="4869" max="4869" width="15.140625" style="6" customWidth="1"/>
    <col min="4870" max="4870" width="7.85546875" style="6" customWidth="1"/>
    <col min="4871" max="4872" width="10.85546875" style="6" customWidth="1"/>
    <col min="4873" max="4874" width="8.85546875" style="6"/>
    <col min="4875" max="4876" width="0" style="6" hidden="1" customWidth="1"/>
    <col min="4877" max="5120" width="8.85546875" style="6"/>
    <col min="5121" max="5121" width="17.85546875" style="6" customWidth="1"/>
    <col min="5122" max="5122" width="6.85546875" style="6" customWidth="1"/>
    <col min="5123" max="5123" width="40.85546875" style="6" customWidth="1"/>
    <col min="5124" max="5124" width="5.140625" style="6" customWidth="1"/>
    <col min="5125" max="5125" width="15.140625" style="6" customWidth="1"/>
    <col min="5126" max="5126" width="7.85546875" style="6" customWidth="1"/>
    <col min="5127" max="5128" width="10.85546875" style="6" customWidth="1"/>
    <col min="5129" max="5130" width="8.85546875" style="6"/>
    <col min="5131" max="5132" width="0" style="6" hidden="1" customWidth="1"/>
    <col min="5133" max="5376" width="8.85546875" style="6"/>
    <col min="5377" max="5377" width="17.85546875" style="6" customWidth="1"/>
    <col min="5378" max="5378" width="6.85546875" style="6" customWidth="1"/>
    <col min="5379" max="5379" width="40.85546875" style="6" customWidth="1"/>
    <col min="5380" max="5380" width="5.140625" style="6" customWidth="1"/>
    <col min="5381" max="5381" width="15.140625" style="6" customWidth="1"/>
    <col min="5382" max="5382" width="7.85546875" style="6" customWidth="1"/>
    <col min="5383" max="5384" width="10.85546875" style="6" customWidth="1"/>
    <col min="5385" max="5386" width="8.85546875" style="6"/>
    <col min="5387" max="5388" width="0" style="6" hidden="1" customWidth="1"/>
    <col min="5389" max="5632" width="8.85546875" style="6"/>
    <col min="5633" max="5633" width="17.85546875" style="6" customWidth="1"/>
    <col min="5634" max="5634" width="6.85546875" style="6" customWidth="1"/>
    <col min="5635" max="5635" width="40.85546875" style="6" customWidth="1"/>
    <col min="5636" max="5636" width="5.140625" style="6" customWidth="1"/>
    <col min="5637" max="5637" width="15.140625" style="6" customWidth="1"/>
    <col min="5638" max="5638" width="7.85546875" style="6" customWidth="1"/>
    <col min="5639" max="5640" width="10.85546875" style="6" customWidth="1"/>
    <col min="5641" max="5642" width="8.85546875" style="6"/>
    <col min="5643" max="5644" width="0" style="6" hidden="1" customWidth="1"/>
    <col min="5645" max="5888" width="8.85546875" style="6"/>
    <col min="5889" max="5889" width="17.85546875" style="6" customWidth="1"/>
    <col min="5890" max="5890" width="6.85546875" style="6" customWidth="1"/>
    <col min="5891" max="5891" width="40.85546875" style="6" customWidth="1"/>
    <col min="5892" max="5892" width="5.140625" style="6" customWidth="1"/>
    <col min="5893" max="5893" width="15.140625" style="6" customWidth="1"/>
    <col min="5894" max="5894" width="7.85546875" style="6" customWidth="1"/>
    <col min="5895" max="5896" width="10.85546875" style="6" customWidth="1"/>
    <col min="5897" max="5898" width="8.85546875" style="6"/>
    <col min="5899" max="5900" width="0" style="6" hidden="1" customWidth="1"/>
    <col min="5901" max="6144" width="8.85546875" style="6"/>
    <col min="6145" max="6145" width="17.85546875" style="6" customWidth="1"/>
    <col min="6146" max="6146" width="6.85546875" style="6" customWidth="1"/>
    <col min="6147" max="6147" width="40.85546875" style="6" customWidth="1"/>
    <col min="6148" max="6148" width="5.140625" style="6" customWidth="1"/>
    <col min="6149" max="6149" width="15.140625" style="6" customWidth="1"/>
    <col min="6150" max="6150" width="7.85546875" style="6" customWidth="1"/>
    <col min="6151" max="6152" width="10.85546875" style="6" customWidth="1"/>
    <col min="6153" max="6154" width="8.85546875" style="6"/>
    <col min="6155" max="6156" width="0" style="6" hidden="1" customWidth="1"/>
    <col min="6157" max="6400" width="8.85546875" style="6"/>
    <col min="6401" max="6401" width="17.85546875" style="6" customWidth="1"/>
    <col min="6402" max="6402" width="6.85546875" style="6" customWidth="1"/>
    <col min="6403" max="6403" width="40.85546875" style="6" customWidth="1"/>
    <col min="6404" max="6404" width="5.140625" style="6" customWidth="1"/>
    <col min="6405" max="6405" width="15.140625" style="6" customWidth="1"/>
    <col min="6406" max="6406" width="7.85546875" style="6" customWidth="1"/>
    <col min="6407" max="6408" width="10.85546875" style="6" customWidth="1"/>
    <col min="6409" max="6410" width="8.85546875" style="6"/>
    <col min="6411" max="6412" width="0" style="6" hidden="1" customWidth="1"/>
    <col min="6413" max="6656" width="8.85546875" style="6"/>
    <col min="6657" max="6657" width="17.85546875" style="6" customWidth="1"/>
    <col min="6658" max="6658" width="6.85546875" style="6" customWidth="1"/>
    <col min="6659" max="6659" width="40.85546875" style="6" customWidth="1"/>
    <col min="6660" max="6660" width="5.140625" style="6" customWidth="1"/>
    <col min="6661" max="6661" width="15.140625" style="6" customWidth="1"/>
    <col min="6662" max="6662" width="7.85546875" style="6" customWidth="1"/>
    <col min="6663" max="6664" width="10.85546875" style="6" customWidth="1"/>
    <col min="6665" max="6666" width="8.85546875" style="6"/>
    <col min="6667" max="6668" width="0" style="6" hidden="1" customWidth="1"/>
    <col min="6669" max="6912" width="8.85546875" style="6"/>
    <col min="6913" max="6913" width="17.85546875" style="6" customWidth="1"/>
    <col min="6914" max="6914" width="6.85546875" style="6" customWidth="1"/>
    <col min="6915" max="6915" width="40.85546875" style="6" customWidth="1"/>
    <col min="6916" max="6916" width="5.140625" style="6" customWidth="1"/>
    <col min="6917" max="6917" width="15.140625" style="6" customWidth="1"/>
    <col min="6918" max="6918" width="7.85546875" style="6" customWidth="1"/>
    <col min="6919" max="6920" width="10.85546875" style="6" customWidth="1"/>
    <col min="6921" max="6922" width="8.85546875" style="6"/>
    <col min="6923" max="6924" width="0" style="6" hidden="1" customWidth="1"/>
    <col min="6925" max="7168" width="8.85546875" style="6"/>
    <col min="7169" max="7169" width="17.85546875" style="6" customWidth="1"/>
    <col min="7170" max="7170" width="6.85546875" style="6" customWidth="1"/>
    <col min="7171" max="7171" width="40.85546875" style="6" customWidth="1"/>
    <col min="7172" max="7172" width="5.140625" style="6" customWidth="1"/>
    <col min="7173" max="7173" width="15.140625" style="6" customWidth="1"/>
    <col min="7174" max="7174" width="7.85546875" style="6" customWidth="1"/>
    <col min="7175" max="7176" width="10.85546875" style="6" customWidth="1"/>
    <col min="7177" max="7178" width="8.85546875" style="6"/>
    <col min="7179" max="7180" width="0" style="6" hidden="1" customWidth="1"/>
    <col min="7181" max="7424" width="8.85546875" style="6"/>
    <col min="7425" max="7425" width="17.85546875" style="6" customWidth="1"/>
    <col min="7426" max="7426" width="6.85546875" style="6" customWidth="1"/>
    <col min="7427" max="7427" width="40.85546875" style="6" customWidth="1"/>
    <col min="7428" max="7428" width="5.140625" style="6" customWidth="1"/>
    <col min="7429" max="7429" width="15.140625" style="6" customWidth="1"/>
    <col min="7430" max="7430" width="7.85546875" style="6" customWidth="1"/>
    <col min="7431" max="7432" width="10.85546875" style="6" customWidth="1"/>
    <col min="7433" max="7434" width="8.85546875" style="6"/>
    <col min="7435" max="7436" width="0" style="6" hidden="1" customWidth="1"/>
    <col min="7437" max="7680" width="8.85546875" style="6"/>
    <col min="7681" max="7681" width="17.85546875" style="6" customWidth="1"/>
    <col min="7682" max="7682" width="6.85546875" style="6" customWidth="1"/>
    <col min="7683" max="7683" width="40.85546875" style="6" customWidth="1"/>
    <col min="7684" max="7684" width="5.140625" style="6" customWidth="1"/>
    <col min="7685" max="7685" width="15.140625" style="6" customWidth="1"/>
    <col min="7686" max="7686" width="7.85546875" style="6" customWidth="1"/>
    <col min="7687" max="7688" width="10.85546875" style="6" customWidth="1"/>
    <col min="7689" max="7690" width="8.85546875" style="6"/>
    <col min="7691" max="7692" width="0" style="6" hidden="1" customWidth="1"/>
    <col min="7693" max="7936" width="8.85546875" style="6"/>
    <col min="7937" max="7937" width="17.85546875" style="6" customWidth="1"/>
    <col min="7938" max="7938" width="6.85546875" style="6" customWidth="1"/>
    <col min="7939" max="7939" width="40.85546875" style="6" customWidth="1"/>
    <col min="7940" max="7940" width="5.140625" style="6" customWidth="1"/>
    <col min="7941" max="7941" width="15.140625" style="6" customWidth="1"/>
    <col min="7942" max="7942" width="7.85546875" style="6" customWidth="1"/>
    <col min="7943" max="7944" width="10.85546875" style="6" customWidth="1"/>
    <col min="7945" max="7946" width="8.85546875" style="6"/>
    <col min="7947" max="7948" width="0" style="6" hidden="1" customWidth="1"/>
    <col min="7949" max="8192" width="8.85546875" style="6"/>
    <col min="8193" max="8193" width="17.85546875" style="6" customWidth="1"/>
    <col min="8194" max="8194" width="6.85546875" style="6" customWidth="1"/>
    <col min="8195" max="8195" width="40.85546875" style="6" customWidth="1"/>
    <col min="8196" max="8196" width="5.140625" style="6" customWidth="1"/>
    <col min="8197" max="8197" width="15.140625" style="6" customWidth="1"/>
    <col min="8198" max="8198" width="7.85546875" style="6" customWidth="1"/>
    <col min="8199" max="8200" width="10.85546875" style="6" customWidth="1"/>
    <col min="8201" max="8202" width="8.85546875" style="6"/>
    <col min="8203" max="8204" width="0" style="6" hidden="1" customWidth="1"/>
    <col min="8205" max="8448" width="8.85546875" style="6"/>
    <col min="8449" max="8449" width="17.85546875" style="6" customWidth="1"/>
    <col min="8450" max="8450" width="6.85546875" style="6" customWidth="1"/>
    <col min="8451" max="8451" width="40.85546875" style="6" customWidth="1"/>
    <col min="8452" max="8452" width="5.140625" style="6" customWidth="1"/>
    <col min="8453" max="8453" width="15.140625" style="6" customWidth="1"/>
    <col min="8454" max="8454" width="7.85546875" style="6" customWidth="1"/>
    <col min="8455" max="8456" width="10.85546875" style="6" customWidth="1"/>
    <col min="8457" max="8458" width="8.85546875" style="6"/>
    <col min="8459" max="8460" width="0" style="6" hidden="1" customWidth="1"/>
    <col min="8461" max="8704" width="8.85546875" style="6"/>
    <col min="8705" max="8705" width="17.85546875" style="6" customWidth="1"/>
    <col min="8706" max="8706" width="6.85546875" style="6" customWidth="1"/>
    <col min="8707" max="8707" width="40.85546875" style="6" customWidth="1"/>
    <col min="8708" max="8708" width="5.140625" style="6" customWidth="1"/>
    <col min="8709" max="8709" width="15.140625" style="6" customWidth="1"/>
    <col min="8710" max="8710" width="7.85546875" style="6" customWidth="1"/>
    <col min="8711" max="8712" width="10.85546875" style="6" customWidth="1"/>
    <col min="8713" max="8714" width="8.85546875" style="6"/>
    <col min="8715" max="8716" width="0" style="6" hidden="1" customWidth="1"/>
    <col min="8717" max="8960" width="8.85546875" style="6"/>
    <col min="8961" max="8961" width="17.85546875" style="6" customWidth="1"/>
    <col min="8962" max="8962" width="6.85546875" style="6" customWidth="1"/>
    <col min="8963" max="8963" width="40.85546875" style="6" customWidth="1"/>
    <col min="8964" max="8964" width="5.140625" style="6" customWidth="1"/>
    <col min="8965" max="8965" width="15.140625" style="6" customWidth="1"/>
    <col min="8966" max="8966" width="7.85546875" style="6" customWidth="1"/>
    <col min="8967" max="8968" width="10.85546875" style="6" customWidth="1"/>
    <col min="8969" max="8970" width="8.85546875" style="6"/>
    <col min="8971" max="8972" width="0" style="6" hidden="1" customWidth="1"/>
    <col min="8973" max="9216" width="8.85546875" style="6"/>
    <col min="9217" max="9217" width="17.85546875" style="6" customWidth="1"/>
    <col min="9218" max="9218" width="6.85546875" style="6" customWidth="1"/>
    <col min="9219" max="9219" width="40.85546875" style="6" customWidth="1"/>
    <col min="9220" max="9220" width="5.140625" style="6" customWidth="1"/>
    <col min="9221" max="9221" width="15.140625" style="6" customWidth="1"/>
    <col min="9222" max="9222" width="7.85546875" style="6" customWidth="1"/>
    <col min="9223" max="9224" width="10.85546875" style="6" customWidth="1"/>
    <col min="9225" max="9226" width="8.85546875" style="6"/>
    <col min="9227" max="9228" width="0" style="6" hidden="1" customWidth="1"/>
    <col min="9229" max="9472" width="8.85546875" style="6"/>
    <col min="9473" max="9473" width="17.85546875" style="6" customWidth="1"/>
    <col min="9474" max="9474" width="6.85546875" style="6" customWidth="1"/>
    <col min="9475" max="9475" width="40.85546875" style="6" customWidth="1"/>
    <col min="9476" max="9476" width="5.140625" style="6" customWidth="1"/>
    <col min="9477" max="9477" width="15.140625" style="6" customWidth="1"/>
    <col min="9478" max="9478" width="7.85546875" style="6" customWidth="1"/>
    <col min="9479" max="9480" width="10.85546875" style="6" customWidth="1"/>
    <col min="9481" max="9482" width="8.85546875" style="6"/>
    <col min="9483" max="9484" width="0" style="6" hidden="1" customWidth="1"/>
    <col min="9485" max="9728" width="8.85546875" style="6"/>
    <col min="9729" max="9729" width="17.85546875" style="6" customWidth="1"/>
    <col min="9730" max="9730" width="6.85546875" style="6" customWidth="1"/>
    <col min="9731" max="9731" width="40.85546875" style="6" customWidth="1"/>
    <col min="9732" max="9732" width="5.140625" style="6" customWidth="1"/>
    <col min="9733" max="9733" width="15.140625" style="6" customWidth="1"/>
    <col min="9734" max="9734" width="7.85546875" style="6" customWidth="1"/>
    <col min="9735" max="9736" width="10.85546875" style="6" customWidth="1"/>
    <col min="9737" max="9738" width="8.85546875" style="6"/>
    <col min="9739" max="9740" width="0" style="6" hidden="1" customWidth="1"/>
    <col min="9741" max="9984" width="8.85546875" style="6"/>
    <col min="9985" max="9985" width="17.85546875" style="6" customWidth="1"/>
    <col min="9986" max="9986" width="6.85546875" style="6" customWidth="1"/>
    <col min="9987" max="9987" width="40.85546875" style="6" customWidth="1"/>
    <col min="9988" max="9988" width="5.140625" style="6" customWidth="1"/>
    <col min="9989" max="9989" width="15.140625" style="6" customWidth="1"/>
    <col min="9990" max="9990" width="7.85546875" style="6" customWidth="1"/>
    <col min="9991" max="9992" width="10.85546875" style="6" customWidth="1"/>
    <col min="9993" max="9994" width="8.85546875" style="6"/>
    <col min="9995" max="9996" width="0" style="6" hidden="1" customWidth="1"/>
    <col min="9997" max="10240" width="8.85546875" style="6"/>
    <col min="10241" max="10241" width="17.85546875" style="6" customWidth="1"/>
    <col min="10242" max="10242" width="6.85546875" style="6" customWidth="1"/>
    <col min="10243" max="10243" width="40.85546875" style="6" customWidth="1"/>
    <col min="10244" max="10244" width="5.140625" style="6" customWidth="1"/>
    <col min="10245" max="10245" width="15.140625" style="6" customWidth="1"/>
    <col min="10246" max="10246" width="7.85546875" style="6" customWidth="1"/>
    <col min="10247" max="10248" width="10.85546875" style="6" customWidth="1"/>
    <col min="10249" max="10250" width="8.85546875" style="6"/>
    <col min="10251" max="10252" width="0" style="6" hidden="1" customWidth="1"/>
    <col min="10253" max="10496" width="8.85546875" style="6"/>
    <col min="10497" max="10497" width="17.85546875" style="6" customWidth="1"/>
    <col min="10498" max="10498" width="6.85546875" style="6" customWidth="1"/>
    <col min="10499" max="10499" width="40.85546875" style="6" customWidth="1"/>
    <col min="10500" max="10500" width="5.140625" style="6" customWidth="1"/>
    <col min="10501" max="10501" width="15.140625" style="6" customWidth="1"/>
    <col min="10502" max="10502" width="7.85546875" style="6" customWidth="1"/>
    <col min="10503" max="10504" width="10.85546875" style="6" customWidth="1"/>
    <col min="10505" max="10506" width="8.85546875" style="6"/>
    <col min="10507" max="10508" width="0" style="6" hidden="1" customWidth="1"/>
    <col min="10509" max="10752" width="8.85546875" style="6"/>
    <col min="10753" max="10753" width="17.85546875" style="6" customWidth="1"/>
    <col min="10754" max="10754" width="6.85546875" style="6" customWidth="1"/>
    <col min="10755" max="10755" width="40.85546875" style="6" customWidth="1"/>
    <col min="10756" max="10756" width="5.140625" style="6" customWidth="1"/>
    <col min="10757" max="10757" width="15.140625" style="6" customWidth="1"/>
    <col min="10758" max="10758" width="7.85546875" style="6" customWidth="1"/>
    <col min="10759" max="10760" width="10.85546875" style="6" customWidth="1"/>
    <col min="10761" max="10762" width="8.85546875" style="6"/>
    <col min="10763" max="10764" width="0" style="6" hidden="1" customWidth="1"/>
    <col min="10765" max="11008" width="8.85546875" style="6"/>
    <col min="11009" max="11009" width="17.85546875" style="6" customWidth="1"/>
    <col min="11010" max="11010" width="6.85546875" style="6" customWidth="1"/>
    <col min="11011" max="11011" width="40.85546875" style="6" customWidth="1"/>
    <col min="11012" max="11012" width="5.140625" style="6" customWidth="1"/>
    <col min="11013" max="11013" width="15.140625" style="6" customWidth="1"/>
    <col min="11014" max="11014" width="7.85546875" style="6" customWidth="1"/>
    <col min="11015" max="11016" width="10.85546875" style="6" customWidth="1"/>
    <col min="11017" max="11018" width="8.85546875" style="6"/>
    <col min="11019" max="11020" width="0" style="6" hidden="1" customWidth="1"/>
    <col min="11021" max="11264" width="8.85546875" style="6"/>
    <col min="11265" max="11265" width="17.85546875" style="6" customWidth="1"/>
    <col min="11266" max="11266" width="6.85546875" style="6" customWidth="1"/>
    <col min="11267" max="11267" width="40.85546875" style="6" customWidth="1"/>
    <col min="11268" max="11268" width="5.140625" style="6" customWidth="1"/>
    <col min="11269" max="11269" width="15.140625" style="6" customWidth="1"/>
    <col min="11270" max="11270" width="7.85546875" style="6" customWidth="1"/>
    <col min="11271" max="11272" width="10.85546875" style="6" customWidth="1"/>
    <col min="11273" max="11274" width="8.85546875" style="6"/>
    <col min="11275" max="11276" width="0" style="6" hidden="1" customWidth="1"/>
    <col min="11277" max="11520" width="8.85546875" style="6"/>
    <col min="11521" max="11521" width="17.85546875" style="6" customWidth="1"/>
    <col min="11522" max="11522" width="6.85546875" style="6" customWidth="1"/>
    <col min="11523" max="11523" width="40.85546875" style="6" customWidth="1"/>
    <col min="11524" max="11524" width="5.140625" style="6" customWidth="1"/>
    <col min="11525" max="11525" width="15.140625" style="6" customWidth="1"/>
    <col min="11526" max="11526" width="7.85546875" style="6" customWidth="1"/>
    <col min="11527" max="11528" width="10.85546875" style="6" customWidth="1"/>
    <col min="11529" max="11530" width="8.85546875" style="6"/>
    <col min="11531" max="11532" width="0" style="6" hidden="1" customWidth="1"/>
    <col min="11533" max="11776" width="8.85546875" style="6"/>
    <col min="11777" max="11777" width="17.85546875" style="6" customWidth="1"/>
    <col min="11778" max="11778" width="6.85546875" style="6" customWidth="1"/>
    <col min="11779" max="11779" width="40.85546875" style="6" customWidth="1"/>
    <col min="11780" max="11780" width="5.140625" style="6" customWidth="1"/>
    <col min="11781" max="11781" width="15.140625" style="6" customWidth="1"/>
    <col min="11782" max="11782" width="7.85546875" style="6" customWidth="1"/>
    <col min="11783" max="11784" width="10.85546875" style="6" customWidth="1"/>
    <col min="11785" max="11786" width="8.85546875" style="6"/>
    <col min="11787" max="11788" width="0" style="6" hidden="1" customWidth="1"/>
    <col min="11789" max="12032" width="8.85546875" style="6"/>
    <col min="12033" max="12033" width="17.85546875" style="6" customWidth="1"/>
    <col min="12034" max="12034" width="6.85546875" style="6" customWidth="1"/>
    <col min="12035" max="12035" width="40.85546875" style="6" customWidth="1"/>
    <col min="12036" max="12036" width="5.140625" style="6" customWidth="1"/>
    <col min="12037" max="12037" width="15.140625" style="6" customWidth="1"/>
    <col min="12038" max="12038" width="7.85546875" style="6" customWidth="1"/>
    <col min="12039" max="12040" width="10.85546875" style="6" customWidth="1"/>
    <col min="12041" max="12042" width="8.85546875" style="6"/>
    <col min="12043" max="12044" width="0" style="6" hidden="1" customWidth="1"/>
    <col min="12045" max="12288" width="8.85546875" style="6"/>
    <col min="12289" max="12289" width="17.85546875" style="6" customWidth="1"/>
    <col min="12290" max="12290" width="6.85546875" style="6" customWidth="1"/>
    <col min="12291" max="12291" width="40.85546875" style="6" customWidth="1"/>
    <col min="12292" max="12292" width="5.140625" style="6" customWidth="1"/>
    <col min="12293" max="12293" width="15.140625" style="6" customWidth="1"/>
    <col min="12294" max="12294" width="7.85546875" style="6" customWidth="1"/>
    <col min="12295" max="12296" width="10.85546875" style="6" customWidth="1"/>
    <col min="12297" max="12298" width="8.85546875" style="6"/>
    <col min="12299" max="12300" width="0" style="6" hidden="1" customWidth="1"/>
    <col min="12301" max="12544" width="8.85546875" style="6"/>
    <col min="12545" max="12545" width="17.85546875" style="6" customWidth="1"/>
    <col min="12546" max="12546" width="6.85546875" style="6" customWidth="1"/>
    <col min="12547" max="12547" width="40.85546875" style="6" customWidth="1"/>
    <col min="12548" max="12548" width="5.140625" style="6" customWidth="1"/>
    <col min="12549" max="12549" width="15.140625" style="6" customWidth="1"/>
    <col min="12550" max="12550" width="7.85546875" style="6" customWidth="1"/>
    <col min="12551" max="12552" width="10.85546875" style="6" customWidth="1"/>
    <col min="12553" max="12554" width="8.85546875" style="6"/>
    <col min="12555" max="12556" width="0" style="6" hidden="1" customWidth="1"/>
    <col min="12557" max="12800" width="8.85546875" style="6"/>
    <col min="12801" max="12801" width="17.85546875" style="6" customWidth="1"/>
    <col min="12802" max="12802" width="6.85546875" style="6" customWidth="1"/>
    <col min="12803" max="12803" width="40.85546875" style="6" customWidth="1"/>
    <col min="12804" max="12804" width="5.140625" style="6" customWidth="1"/>
    <col min="12805" max="12805" width="15.140625" style="6" customWidth="1"/>
    <col min="12806" max="12806" width="7.85546875" style="6" customWidth="1"/>
    <col min="12807" max="12808" width="10.85546875" style="6" customWidth="1"/>
    <col min="12809" max="12810" width="8.85546875" style="6"/>
    <col min="12811" max="12812" width="0" style="6" hidden="1" customWidth="1"/>
    <col min="12813" max="13056" width="8.85546875" style="6"/>
    <col min="13057" max="13057" width="17.85546875" style="6" customWidth="1"/>
    <col min="13058" max="13058" width="6.85546875" style="6" customWidth="1"/>
    <col min="13059" max="13059" width="40.85546875" style="6" customWidth="1"/>
    <col min="13060" max="13060" width="5.140625" style="6" customWidth="1"/>
    <col min="13061" max="13061" width="15.140625" style="6" customWidth="1"/>
    <col min="13062" max="13062" width="7.85546875" style="6" customWidth="1"/>
    <col min="13063" max="13064" width="10.85546875" style="6" customWidth="1"/>
    <col min="13065" max="13066" width="8.85546875" style="6"/>
    <col min="13067" max="13068" width="0" style="6" hidden="1" customWidth="1"/>
    <col min="13069" max="13312" width="8.85546875" style="6"/>
    <col min="13313" max="13313" width="17.85546875" style="6" customWidth="1"/>
    <col min="13314" max="13314" width="6.85546875" style="6" customWidth="1"/>
    <col min="13315" max="13315" width="40.85546875" style="6" customWidth="1"/>
    <col min="13316" max="13316" width="5.140625" style="6" customWidth="1"/>
    <col min="13317" max="13317" width="15.140625" style="6" customWidth="1"/>
    <col min="13318" max="13318" width="7.85546875" style="6" customWidth="1"/>
    <col min="13319" max="13320" width="10.85546875" style="6" customWidth="1"/>
    <col min="13321" max="13322" width="8.85546875" style="6"/>
    <col min="13323" max="13324" width="0" style="6" hidden="1" customWidth="1"/>
    <col min="13325" max="13568" width="8.85546875" style="6"/>
    <col min="13569" max="13569" width="17.85546875" style="6" customWidth="1"/>
    <col min="13570" max="13570" width="6.85546875" style="6" customWidth="1"/>
    <col min="13571" max="13571" width="40.85546875" style="6" customWidth="1"/>
    <col min="13572" max="13572" width="5.140625" style="6" customWidth="1"/>
    <col min="13573" max="13573" width="15.140625" style="6" customWidth="1"/>
    <col min="13574" max="13574" width="7.85546875" style="6" customWidth="1"/>
    <col min="13575" max="13576" width="10.85546875" style="6" customWidth="1"/>
    <col min="13577" max="13578" width="8.85546875" style="6"/>
    <col min="13579" max="13580" width="0" style="6" hidden="1" customWidth="1"/>
    <col min="13581" max="13824" width="8.85546875" style="6"/>
    <col min="13825" max="13825" width="17.85546875" style="6" customWidth="1"/>
    <col min="13826" max="13826" width="6.85546875" style="6" customWidth="1"/>
    <col min="13827" max="13827" width="40.85546875" style="6" customWidth="1"/>
    <col min="13828" max="13828" width="5.140625" style="6" customWidth="1"/>
    <col min="13829" max="13829" width="15.140625" style="6" customWidth="1"/>
    <col min="13830" max="13830" width="7.85546875" style="6" customWidth="1"/>
    <col min="13831" max="13832" width="10.85546875" style="6" customWidth="1"/>
    <col min="13833" max="13834" width="8.85546875" style="6"/>
    <col min="13835" max="13836" width="0" style="6" hidden="1" customWidth="1"/>
    <col min="13837" max="14080" width="8.85546875" style="6"/>
    <col min="14081" max="14081" width="17.85546875" style="6" customWidth="1"/>
    <col min="14082" max="14082" width="6.85546875" style="6" customWidth="1"/>
    <col min="14083" max="14083" width="40.85546875" style="6" customWidth="1"/>
    <col min="14084" max="14084" width="5.140625" style="6" customWidth="1"/>
    <col min="14085" max="14085" width="15.140625" style="6" customWidth="1"/>
    <col min="14086" max="14086" width="7.85546875" style="6" customWidth="1"/>
    <col min="14087" max="14088" width="10.85546875" style="6" customWidth="1"/>
    <col min="14089" max="14090" width="8.85546875" style="6"/>
    <col min="14091" max="14092" width="0" style="6" hidden="1" customWidth="1"/>
    <col min="14093" max="14336" width="8.85546875" style="6"/>
    <col min="14337" max="14337" width="17.85546875" style="6" customWidth="1"/>
    <col min="14338" max="14338" width="6.85546875" style="6" customWidth="1"/>
    <col min="14339" max="14339" width="40.85546875" style="6" customWidth="1"/>
    <col min="14340" max="14340" width="5.140625" style="6" customWidth="1"/>
    <col min="14341" max="14341" width="15.140625" style="6" customWidth="1"/>
    <col min="14342" max="14342" width="7.85546875" style="6" customWidth="1"/>
    <col min="14343" max="14344" width="10.85546875" style="6" customWidth="1"/>
    <col min="14345" max="14346" width="8.85546875" style="6"/>
    <col min="14347" max="14348" width="0" style="6" hidden="1" customWidth="1"/>
    <col min="14349" max="14592" width="8.85546875" style="6"/>
    <col min="14593" max="14593" width="17.85546875" style="6" customWidth="1"/>
    <col min="14594" max="14594" width="6.85546875" style="6" customWidth="1"/>
    <col min="14595" max="14595" width="40.85546875" style="6" customWidth="1"/>
    <col min="14596" max="14596" width="5.140625" style="6" customWidth="1"/>
    <col min="14597" max="14597" width="15.140625" style="6" customWidth="1"/>
    <col min="14598" max="14598" width="7.85546875" style="6" customWidth="1"/>
    <col min="14599" max="14600" width="10.85546875" style="6" customWidth="1"/>
    <col min="14601" max="14602" width="8.85546875" style="6"/>
    <col min="14603" max="14604" width="0" style="6" hidden="1" customWidth="1"/>
    <col min="14605" max="14848" width="8.85546875" style="6"/>
    <col min="14849" max="14849" width="17.85546875" style="6" customWidth="1"/>
    <col min="14850" max="14850" width="6.85546875" style="6" customWidth="1"/>
    <col min="14851" max="14851" width="40.85546875" style="6" customWidth="1"/>
    <col min="14852" max="14852" width="5.140625" style="6" customWidth="1"/>
    <col min="14853" max="14853" width="15.140625" style="6" customWidth="1"/>
    <col min="14854" max="14854" width="7.85546875" style="6" customWidth="1"/>
    <col min="14855" max="14856" width="10.85546875" style="6" customWidth="1"/>
    <col min="14857" max="14858" width="8.85546875" style="6"/>
    <col min="14859" max="14860" width="0" style="6" hidden="1" customWidth="1"/>
    <col min="14861" max="15104" width="8.85546875" style="6"/>
    <col min="15105" max="15105" width="17.85546875" style="6" customWidth="1"/>
    <col min="15106" max="15106" width="6.85546875" style="6" customWidth="1"/>
    <col min="15107" max="15107" width="40.85546875" style="6" customWidth="1"/>
    <col min="15108" max="15108" width="5.140625" style="6" customWidth="1"/>
    <col min="15109" max="15109" width="15.140625" style="6" customWidth="1"/>
    <col min="15110" max="15110" width="7.85546875" style="6" customWidth="1"/>
    <col min="15111" max="15112" width="10.85546875" style="6" customWidth="1"/>
    <col min="15113" max="15114" width="8.85546875" style="6"/>
    <col min="15115" max="15116" width="0" style="6" hidden="1" customWidth="1"/>
    <col min="15117" max="15360" width="8.85546875" style="6"/>
    <col min="15361" max="15361" width="17.85546875" style="6" customWidth="1"/>
    <col min="15362" max="15362" width="6.85546875" style="6" customWidth="1"/>
    <col min="15363" max="15363" width="40.85546875" style="6" customWidth="1"/>
    <col min="15364" max="15364" width="5.140625" style="6" customWidth="1"/>
    <col min="15365" max="15365" width="15.140625" style="6" customWidth="1"/>
    <col min="15366" max="15366" width="7.85546875" style="6" customWidth="1"/>
    <col min="15367" max="15368" width="10.85546875" style="6" customWidth="1"/>
    <col min="15369" max="15370" width="8.85546875" style="6"/>
    <col min="15371" max="15372" width="0" style="6" hidden="1" customWidth="1"/>
    <col min="15373" max="15616" width="8.85546875" style="6"/>
    <col min="15617" max="15617" width="17.85546875" style="6" customWidth="1"/>
    <col min="15618" max="15618" width="6.85546875" style="6" customWidth="1"/>
    <col min="15619" max="15619" width="40.85546875" style="6" customWidth="1"/>
    <col min="15620" max="15620" width="5.140625" style="6" customWidth="1"/>
    <col min="15621" max="15621" width="15.140625" style="6" customWidth="1"/>
    <col min="15622" max="15622" width="7.85546875" style="6" customWidth="1"/>
    <col min="15623" max="15624" width="10.85546875" style="6" customWidth="1"/>
    <col min="15625" max="15626" width="8.85546875" style="6"/>
    <col min="15627" max="15628" width="0" style="6" hidden="1" customWidth="1"/>
    <col min="15629" max="15872" width="8.85546875" style="6"/>
    <col min="15873" max="15873" width="17.85546875" style="6" customWidth="1"/>
    <col min="15874" max="15874" width="6.85546875" style="6" customWidth="1"/>
    <col min="15875" max="15875" width="40.85546875" style="6" customWidth="1"/>
    <col min="15876" max="15876" width="5.140625" style="6" customWidth="1"/>
    <col min="15877" max="15877" width="15.140625" style="6" customWidth="1"/>
    <col min="15878" max="15878" width="7.85546875" style="6" customWidth="1"/>
    <col min="15879" max="15880" width="10.85546875" style="6" customWidth="1"/>
    <col min="15881" max="15882" width="8.85546875" style="6"/>
    <col min="15883" max="15884" width="0" style="6" hidden="1" customWidth="1"/>
    <col min="15885" max="16128" width="8.85546875" style="6"/>
    <col min="16129" max="16129" width="17.85546875" style="6" customWidth="1"/>
    <col min="16130" max="16130" width="6.85546875" style="6" customWidth="1"/>
    <col min="16131" max="16131" width="40.85546875" style="6" customWidth="1"/>
    <col min="16132" max="16132" width="5.140625" style="6" customWidth="1"/>
    <col min="16133" max="16133" width="15.140625" style="6" customWidth="1"/>
    <col min="16134" max="16134" width="7.85546875" style="6" customWidth="1"/>
    <col min="16135" max="16136" width="10.85546875" style="6" customWidth="1"/>
    <col min="16137" max="16138" width="8.85546875" style="6"/>
    <col min="16139" max="16140" width="0" style="6" hidden="1" customWidth="1"/>
    <col min="16141" max="16384" width="8.85546875" style="6"/>
  </cols>
  <sheetData>
    <row r="1" spans="1:12" ht="45" customHeight="1" thickBot="1" x14ac:dyDescent="0.4">
      <c r="B1" s="424" t="s">
        <v>285</v>
      </c>
      <c r="C1" s="425"/>
      <c r="D1" s="426"/>
      <c r="E1" s="426"/>
      <c r="F1" s="426"/>
      <c r="G1" s="426"/>
      <c r="H1" s="427"/>
    </row>
    <row r="2" spans="1:12" ht="30" customHeight="1" x14ac:dyDescent="0.2">
      <c r="B2" s="317" t="s">
        <v>316</v>
      </c>
      <c r="C2" s="317"/>
      <c r="D2" s="432" t="s">
        <v>327</v>
      </c>
      <c r="E2" s="429"/>
      <c r="F2" s="429"/>
      <c r="G2" s="429"/>
      <c r="H2" s="430"/>
      <c r="K2" s="64" t="s">
        <v>354</v>
      </c>
      <c r="L2" s="197"/>
    </row>
    <row r="3" spans="1:12" ht="15.6" customHeight="1" x14ac:dyDescent="0.2">
      <c r="B3" s="317" t="s">
        <v>5</v>
      </c>
      <c r="C3" s="317"/>
      <c r="D3" s="417" t="s">
        <v>359</v>
      </c>
      <c r="E3" s="418"/>
      <c r="F3" s="418"/>
      <c r="G3" s="418"/>
      <c r="H3" s="419"/>
      <c r="K3" s="64">
        <v>17</v>
      </c>
      <c r="L3" s="197"/>
    </row>
    <row r="4" spans="1:12" ht="12.75" customHeight="1" x14ac:dyDescent="0.2">
      <c r="B4" s="317" t="s">
        <v>3</v>
      </c>
      <c r="C4" s="317"/>
      <c r="D4" s="417" t="s">
        <v>360</v>
      </c>
      <c r="E4" s="418"/>
      <c r="F4" s="418"/>
      <c r="G4" s="418"/>
      <c r="H4" s="419"/>
      <c r="K4" s="64" t="s">
        <v>260</v>
      </c>
      <c r="L4" s="197"/>
    </row>
    <row r="5" spans="1:12" ht="13.35" customHeight="1" x14ac:dyDescent="0.2">
      <c r="B5" s="317" t="s">
        <v>321</v>
      </c>
      <c r="C5" s="317"/>
      <c r="D5" s="431">
        <v>44393</v>
      </c>
      <c r="E5" s="418"/>
      <c r="F5" s="418"/>
      <c r="G5" s="418"/>
      <c r="H5" s="419"/>
      <c r="K5" s="64" t="s">
        <v>302</v>
      </c>
      <c r="L5" s="197"/>
    </row>
    <row r="6" spans="1:12" ht="13.35" customHeight="1" x14ac:dyDescent="0.2">
      <c r="B6" s="317" t="s">
        <v>68</v>
      </c>
      <c r="C6" s="317"/>
      <c r="D6" s="417" t="s">
        <v>356</v>
      </c>
      <c r="E6" s="418"/>
      <c r="F6" s="418"/>
      <c r="G6" s="418"/>
      <c r="H6" s="419"/>
      <c r="K6" s="64" t="s">
        <v>303</v>
      </c>
      <c r="L6" s="197"/>
    </row>
    <row r="7" spans="1:12" ht="13.35" customHeight="1" x14ac:dyDescent="0.2">
      <c r="B7" s="317" t="s">
        <v>309</v>
      </c>
      <c r="C7" s="317"/>
      <c r="D7" s="417" t="s">
        <v>255</v>
      </c>
      <c r="E7" s="418"/>
      <c r="F7" s="418"/>
      <c r="G7" s="418"/>
      <c r="H7" s="419"/>
      <c r="K7" s="64" t="s">
        <v>261</v>
      </c>
      <c r="L7" s="197"/>
    </row>
    <row r="8" spans="1:12" ht="13.35" customHeight="1" x14ac:dyDescent="0.2">
      <c r="B8" s="354" t="s">
        <v>12</v>
      </c>
      <c r="C8" s="355"/>
      <c r="D8" s="417" t="s">
        <v>40</v>
      </c>
      <c r="E8" s="418"/>
      <c r="F8" s="418"/>
      <c r="G8" s="418"/>
      <c r="H8" s="419"/>
      <c r="K8" s="64" t="s">
        <v>263</v>
      </c>
      <c r="L8" s="197"/>
    </row>
    <row r="9" spans="1:12" ht="13.35" customHeight="1" x14ac:dyDescent="0.2">
      <c r="B9" s="354" t="s">
        <v>183</v>
      </c>
      <c r="C9" s="355"/>
      <c r="D9" s="417" t="s">
        <v>362</v>
      </c>
      <c r="E9" s="418"/>
      <c r="F9" s="418"/>
      <c r="G9" s="418"/>
      <c r="H9" s="419"/>
      <c r="K9" s="64" t="s">
        <v>198</v>
      </c>
      <c r="L9" s="197"/>
    </row>
    <row r="10" spans="1:12" ht="12.75" customHeight="1" x14ac:dyDescent="0.2">
      <c r="B10" s="354" t="s">
        <v>184</v>
      </c>
      <c r="C10" s="355"/>
      <c r="D10" s="417" t="s">
        <v>256</v>
      </c>
      <c r="E10" s="418"/>
      <c r="F10" s="418"/>
      <c r="G10" s="418"/>
      <c r="H10" s="419"/>
      <c r="K10" s="64" t="s">
        <v>159</v>
      </c>
      <c r="L10" s="197"/>
    </row>
    <row r="11" spans="1:12" ht="13.35" customHeight="1" x14ac:dyDescent="0.2">
      <c r="B11" s="354" t="s">
        <v>61</v>
      </c>
      <c r="C11" s="355"/>
      <c r="D11" s="417" t="s">
        <v>284</v>
      </c>
      <c r="E11" s="418"/>
      <c r="F11" s="418"/>
      <c r="G11" s="418"/>
      <c r="H11" s="419"/>
      <c r="L11" s="197"/>
    </row>
    <row r="12" spans="1:12" ht="12.75" customHeight="1" x14ac:dyDescent="0.2">
      <c r="B12" s="354" t="s">
        <v>314</v>
      </c>
      <c r="C12" s="355"/>
      <c r="D12" s="417" t="s">
        <v>257</v>
      </c>
      <c r="E12" s="418"/>
      <c r="F12" s="418"/>
      <c r="G12" s="418"/>
      <c r="H12" s="419"/>
      <c r="L12" s="197"/>
    </row>
    <row r="13" spans="1:12" ht="26.1" customHeight="1" x14ac:dyDescent="0.2">
      <c r="B13" s="361" t="s">
        <v>136</v>
      </c>
      <c r="C13" s="362"/>
      <c r="D13" s="420"/>
      <c r="E13" s="421"/>
      <c r="F13" s="421"/>
      <c r="G13" s="421"/>
      <c r="H13" s="422"/>
      <c r="L13" s="197"/>
    </row>
    <row r="14" spans="1:12" ht="15.75" x14ac:dyDescent="0.2">
      <c r="B14" s="423" t="s">
        <v>271</v>
      </c>
      <c r="C14" s="423"/>
      <c r="D14" s="423"/>
      <c r="E14" s="423"/>
      <c r="F14" s="423"/>
      <c r="G14" s="423"/>
      <c r="H14" s="423"/>
    </row>
    <row r="15" spans="1:12" x14ac:dyDescent="0.2">
      <c r="A15" s="134"/>
      <c r="B15" s="182"/>
      <c r="C15" s="183"/>
      <c r="D15" s="200"/>
      <c r="E15" s="187"/>
      <c r="F15" s="187"/>
      <c r="G15" s="187"/>
      <c r="H15" s="188"/>
    </row>
    <row r="16" spans="1:12" x14ac:dyDescent="0.2">
      <c r="A16" s="134"/>
      <c r="B16" s="182"/>
      <c r="C16" s="183" t="s">
        <v>241</v>
      </c>
      <c r="D16" s="184"/>
      <c r="E16" s="229">
        <f xml:space="preserve"> vbaIsError(ResUp(30, E32))</f>
        <v>30</v>
      </c>
      <c r="F16" s="186"/>
      <c r="G16" s="186"/>
      <c r="H16" s="206"/>
    </row>
    <row r="17" spans="1:12" x14ac:dyDescent="0.2">
      <c r="A17" s="134"/>
      <c r="B17" s="182"/>
      <c r="C17" s="183" t="s">
        <v>242</v>
      </c>
      <c r="D17" s="184"/>
      <c r="E17" s="229" t="str">
        <f xml:space="preserve"> vbaIsError(ResDwn(, E32))</f>
        <v/>
      </c>
      <c r="F17" s="186"/>
      <c r="G17" s="186"/>
      <c r="H17" s="206"/>
    </row>
    <row r="18" spans="1:12" x14ac:dyDescent="0.2">
      <c r="A18" s="134"/>
      <c r="B18" s="182"/>
      <c r="C18" s="183"/>
      <c r="D18" s="184"/>
      <c r="E18" s="207"/>
      <c r="F18" s="208"/>
      <c r="G18" s="208"/>
      <c r="H18" s="209"/>
    </row>
    <row r="19" spans="1:12" x14ac:dyDescent="0.2">
      <c r="A19" s="134"/>
      <c r="B19" s="182"/>
      <c r="C19" s="183" t="s">
        <v>313</v>
      </c>
      <c r="D19" s="200"/>
      <c r="E19" s="229">
        <v>1.6973786011142573</v>
      </c>
      <c r="F19" s="210"/>
      <c r="G19" s="210"/>
      <c r="H19" s="211"/>
      <c r="K19" s="64">
        <v>0.86600949036441699</v>
      </c>
      <c r="L19" s="222" t="s">
        <v>286</v>
      </c>
    </row>
    <row r="20" spans="1:12" x14ac:dyDescent="0.2">
      <c r="A20" s="134"/>
      <c r="B20" s="182"/>
      <c r="C20" s="183" t="s">
        <v>0</v>
      </c>
      <c r="D20" s="200"/>
      <c r="E20" s="223">
        <v>0.95</v>
      </c>
      <c r="F20" s="212"/>
      <c r="G20" s="210"/>
      <c r="H20" s="211"/>
      <c r="K20" s="64">
        <v>30</v>
      </c>
      <c r="L20" s="222" t="s">
        <v>266</v>
      </c>
    </row>
    <row r="21" spans="1:12" x14ac:dyDescent="0.2">
      <c r="A21" s="134"/>
      <c r="B21" s="182"/>
      <c r="C21" s="183"/>
      <c r="D21" s="184"/>
      <c r="E21" s="185"/>
      <c r="F21" s="185"/>
      <c r="G21" s="212"/>
      <c r="H21" s="213"/>
    </row>
    <row r="22" spans="1:12" x14ac:dyDescent="0.2">
      <c r="A22" s="134"/>
      <c r="B22" s="182"/>
      <c r="C22" s="183" t="s">
        <v>279</v>
      </c>
      <c r="D22" s="184"/>
      <c r="E22" s="203">
        <f xml:space="preserve"> vbaIsZero(CalcTUR(K20,E30,E17, E16,E19))</f>
        <v>2.9457187669961855</v>
      </c>
      <c r="F22" s="208"/>
      <c r="G22" s="186"/>
      <c r="H22" s="206"/>
    </row>
    <row r="23" spans="1:12" x14ac:dyDescent="0.2">
      <c r="A23" s="134"/>
      <c r="B23" s="182"/>
      <c r="C23" s="183"/>
      <c r="D23" s="184"/>
      <c r="E23" s="189"/>
      <c r="F23" s="185"/>
      <c r="G23" s="187"/>
      <c r="H23" s="188"/>
    </row>
    <row r="24" spans="1:12" x14ac:dyDescent="0.2">
      <c r="A24" s="134"/>
      <c r="B24" s="182"/>
      <c r="C24" s="183" t="s">
        <v>245</v>
      </c>
      <c r="D24" s="184"/>
      <c r="E24" s="214">
        <v>0.02</v>
      </c>
      <c r="F24" s="185"/>
      <c r="G24" s="186"/>
      <c r="H24" s="206"/>
    </row>
    <row r="25" spans="1:12" x14ac:dyDescent="0.2">
      <c r="A25" s="134"/>
      <c r="B25" s="182"/>
      <c r="C25" s="183" t="s">
        <v>276</v>
      </c>
      <c r="D25" s="184"/>
      <c r="E25" s="214">
        <v>0.85</v>
      </c>
      <c r="F25" s="185"/>
      <c r="G25" s="186"/>
      <c r="H25" s="206"/>
    </row>
    <row r="26" spans="1:12" x14ac:dyDescent="0.2">
      <c r="A26" s="134"/>
      <c r="B26" s="182"/>
      <c r="C26" s="183"/>
      <c r="D26" s="184"/>
      <c r="E26" s="184"/>
      <c r="F26" s="185"/>
      <c r="G26" s="185"/>
      <c r="H26" s="215"/>
    </row>
    <row r="27" spans="1:12" x14ac:dyDescent="0.2">
      <c r="A27" s="134"/>
      <c r="B27" s="182"/>
      <c r="C27" s="183" t="s">
        <v>287</v>
      </c>
      <c r="D27" s="184"/>
      <c r="E27" s="216">
        <v>0.85</v>
      </c>
      <c r="F27" s="212"/>
      <c r="G27" s="212"/>
      <c r="H27" s="213"/>
    </row>
    <row r="28" spans="1:12" x14ac:dyDescent="0.2">
      <c r="A28" s="134"/>
      <c r="B28" s="182"/>
      <c r="C28" s="183" t="s">
        <v>288</v>
      </c>
      <c r="D28" s="184"/>
      <c r="E28" s="217">
        <v>4</v>
      </c>
      <c r="F28" s="185"/>
      <c r="G28" s="218"/>
      <c r="H28" s="206"/>
    </row>
    <row r="29" spans="1:12" x14ac:dyDescent="0.2">
      <c r="A29" s="134"/>
      <c r="B29" s="182"/>
      <c r="C29" s="183" t="s">
        <v>267</v>
      </c>
      <c r="D29" s="184"/>
      <c r="E29" s="199">
        <v>24</v>
      </c>
      <c r="F29" s="185"/>
      <c r="G29" s="218"/>
      <c r="H29" s="206"/>
      <c r="K29" s="226"/>
    </row>
    <row r="30" spans="1:12" x14ac:dyDescent="0.2">
      <c r="A30" s="134"/>
      <c r="B30" s="182"/>
      <c r="C30" s="183" t="s">
        <v>280</v>
      </c>
      <c r="D30" s="184"/>
      <c r="E30" s="140">
        <v>35</v>
      </c>
      <c r="F30" s="212"/>
      <c r="G30" s="212"/>
      <c r="H30" s="213"/>
    </row>
    <row r="31" spans="1:12" x14ac:dyDescent="0.2">
      <c r="A31" s="134"/>
      <c r="B31" s="182"/>
      <c r="C31" s="183"/>
      <c r="D31" s="184"/>
      <c r="E31" s="219"/>
      <c r="F31" s="185"/>
      <c r="G31" s="185"/>
      <c r="H31" s="220"/>
    </row>
    <row r="32" spans="1:12" x14ac:dyDescent="0.2">
      <c r="A32" s="134"/>
      <c r="B32" s="182"/>
      <c r="C32" s="183" t="s">
        <v>304</v>
      </c>
      <c r="D32" s="184"/>
      <c r="E32" s="229"/>
      <c r="F32" s="212"/>
      <c r="G32" s="212"/>
      <c r="H32" s="213"/>
    </row>
    <row r="33" spans="1:11" x14ac:dyDescent="0.2">
      <c r="A33" s="134"/>
      <c r="B33" s="182"/>
      <c r="C33" s="183"/>
      <c r="D33" s="184"/>
      <c r="E33" s="219"/>
      <c r="F33" s="185"/>
      <c r="G33" s="185"/>
      <c r="H33" s="220"/>
    </row>
    <row r="34" spans="1:11" ht="15.75" x14ac:dyDescent="0.2">
      <c r="B34" s="423" t="s">
        <v>291</v>
      </c>
      <c r="C34" s="423"/>
      <c r="D34" s="423"/>
      <c r="E34" s="423"/>
      <c r="F34" s="423"/>
      <c r="G34" s="423"/>
      <c r="H34" s="423"/>
    </row>
    <row r="35" spans="1:11" x14ac:dyDescent="0.2">
      <c r="A35" s="134"/>
      <c r="B35" s="182"/>
      <c r="C35" s="183"/>
      <c r="D35" s="200"/>
      <c r="E35" s="187"/>
      <c r="F35" s="187"/>
      <c r="G35" s="187"/>
      <c r="H35" s="188"/>
    </row>
    <row r="36" spans="1:11" x14ac:dyDescent="0.2">
      <c r="A36" s="134"/>
      <c r="B36" s="182"/>
      <c r="C36" s="183" t="s">
        <v>292</v>
      </c>
      <c r="D36" s="184"/>
      <c r="E36" s="205">
        <f xml:space="preserve"> PredREOPMgr(K20,E30,E17,E16,K19,E25,E27,E22,E28,E29,E24)</f>
        <v>0.84823057754486431</v>
      </c>
      <c r="F36" s="186"/>
      <c r="G36" s="187"/>
      <c r="H36" s="188"/>
    </row>
    <row r="37" spans="1:11" x14ac:dyDescent="0.2">
      <c r="A37" s="134"/>
      <c r="B37" s="182"/>
      <c r="C37" s="183"/>
      <c r="D37" s="184"/>
      <c r="E37" s="189"/>
      <c r="F37" s="185"/>
      <c r="G37" s="187"/>
      <c r="H37" s="188"/>
    </row>
    <row r="38" spans="1:11" x14ac:dyDescent="0.2">
      <c r="A38" s="134"/>
      <c r="B38" s="182"/>
      <c r="C38" s="173" t="s">
        <v>293</v>
      </c>
      <c r="D38" s="184"/>
      <c r="E38" s="205">
        <f xml:space="preserve"> vbaIsError(PFAmgr(K20, E30, E17, E16, K19, E27, E22, E28 ))</f>
        <v>1.4750163794774895E-2</v>
      </c>
      <c r="F38" s="185"/>
      <c r="G38" s="208"/>
      <c r="H38" s="209"/>
      <c r="K38" s="227"/>
    </row>
    <row r="39" spans="1:11" x14ac:dyDescent="0.2">
      <c r="A39" s="134"/>
      <c r="B39" s="182"/>
      <c r="C39" s="173" t="s">
        <v>294</v>
      </c>
      <c r="D39" s="184"/>
      <c r="E39" s="205">
        <f xml:space="preserve"> vbaIsError(PFRmgr(K20, E30, E17, E16, K19, E27, E22, E28 ))</f>
        <v>1.8649110280275161E-2</v>
      </c>
      <c r="F39" s="185"/>
      <c r="G39" s="185"/>
      <c r="H39" s="220"/>
    </row>
    <row r="40" spans="1:11" x14ac:dyDescent="0.2">
      <c r="A40" s="134"/>
      <c r="B40" s="182"/>
      <c r="C40" s="183" t="s">
        <v>244</v>
      </c>
      <c r="D40" s="184"/>
      <c r="E40" s="205">
        <f xml:space="preserve"> vbaIsError(E38+E39)</f>
        <v>3.3399274075050056E-2</v>
      </c>
      <c r="F40" s="185"/>
      <c r="G40" s="185"/>
      <c r="H40" s="220"/>
    </row>
    <row r="41" spans="1:11" x14ac:dyDescent="0.2">
      <c r="A41" s="134"/>
      <c r="B41" s="182"/>
      <c r="C41" s="183"/>
      <c r="D41" s="184"/>
      <c r="E41" s="184"/>
      <c r="F41" s="185"/>
      <c r="G41" s="185"/>
      <c r="H41" s="215"/>
    </row>
    <row r="42" spans="1:11" ht="15.75" x14ac:dyDescent="0.2">
      <c r="B42" s="433" t="s">
        <v>277</v>
      </c>
      <c r="C42" s="434"/>
      <c r="D42" s="434"/>
      <c r="E42" s="434"/>
      <c r="F42" s="434"/>
      <c r="G42" s="434"/>
      <c r="H42" s="435"/>
    </row>
    <row r="43" spans="1:11" x14ac:dyDescent="0.2">
      <c r="A43" s="134"/>
      <c r="B43" s="182"/>
      <c r="C43" s="183"/>
      <c r="D43" s="184"/>
      <c r="E43" s="185"/>
      <c r="F43" s="185"/>
      <c r="G43" s="186"/>
      <c r="H43" s="206"/>
    </row>
    <row r="44" spans="1:11" x14ac:dyDescent="0.2">
      <c r="A44" s="134"/>
      <c r="B44" s="182"/>
      <c r="C44" s="183" t="s">
        <v>247</v>
      </c>
      <c r="D44" s="184"/>
      <c r="E44" s="230">
        <f xml:space="preserve"> vbaIsError(ResUp(GBUpMgr(E24, K20, E30, E17, E16, K19, E25 ), E32))</f>
        <v>35</v>
      </c>
      <c r="F44" s="186"/>
      <c r="G44" s="187"/>
      <c r="H44" s="188"/>
    </row>
    <row r="45" spans="1:11" x14ac:dyDescent="0.2">
      <c r="A45" s="134"/>
      <c r="B45" s="182"/>
      <c r="C45" s="183" t="s">
        <v>248</v>
      </c>
      <c r="D45" s="184"/>
      <c r="E45" s="230" t="str">
        <f xml:space="preserve"> vbaIsError(ResDwn(GBLowMgr(E24, K20, E30, E17, E16, K19, E25 ), E32))</f>
        <v/>
      </c>
      <c r="F45" s="186"/>
      <c r="G45" s="187"/>
      <c r="H45" s="188"/>
    </row>
    <row r="46" spans="1:11" x14ac:dyDescent="0.2">
      <c r="A46" s="134"/>
      <c r="B46" s="182"/>
      <c r="C46" s="183" t="s">
        <v>249</v>
      </c>
      <c r="D46" s="184"/>
      <c r="E46" s="205">
        <f xml:space="preserve"> vbaIsError(GBMultmgr(E24, K20, E30, E17, E16, E45, E44))</f>
        <v>0</v>
      </c>
      <c r="F46" s="185"/>
      <c r="G46" s="187"/>
      <c r="H46" s="188"/>
    </row>
    <row r="47" spans="1:11" x14ac:dyDescent="0.2">
      <c r="A47" s="134"/>
      <c r="B47" s="182"/>
      <c r="C47" s="183"/>
      <c r="D47" s="184"/>
      <c r="E47" s="189"/>
      <c r="F47" s="185"/>
      <c r="G47" s="187"/>
      <c r="H47" s="188"/>
    </row>
    <row r="48" spans="1:11" x14ac:dyDescent="0.2">
      <c r="A48" s="134"/>
      <c r="B48" s="182"/>
      <c r="C48" s="173" t="s">
        <v>253</v>
      </c>
      <c r="D48" s="184"/>
      <c r="E48" s="205" t="str">
        <f xml:space="preserve"> vbaIsError(PFAWGBmgr(K20, E30, E17, E16, K19, E25, E45, E44 ))</f>
        <v/>
      </c>
      <c r="F48" s="185"/>
      <c r="G48" s="185"/>
      <c r="H48" s="220"/>
    </row>
    <row r="49" spans="1:8" x14ac:dyDescent="0.2">
      <c r="A49" s="134"/>
      <c r="B49" s="182"/>
      <c r="C49" s="173" t="s">
        <v>254</v>
      </c>
      <c r="D49" s="184"/>
      <c r="E49" s="205" t="str">
        <f xml:space="preserve"> vbaIsError(PFRWGBmgr(K20, E30, E17, E16, K19, E25, E45, E44 ))</f>
        <v/>
      </c>
      <c r="F49" s="185"/>
      <c r="G49" s="185"/>
      <c r="H49" s="220"/>
    </row>
    <row r="50" spans="1:8" x14ac:dyDescent="0.2">
      <c r="A50" s="134"/>
      <c r="B50" s="182"/>
      <c r="C50" s="183" t="s">
        <v>246</v>
      </c>
      <c r="D50" s="184"/>
      <c r="E50" s="205" t="str">
        <f xml:space="preserve"> vbaIsError(E48+E49)</f>
        <v/>
      </c>
      <c r="F50" s="185"/>
      <c r="G50" s="208"/>
      <c r="H50" s="209"/>
    </row>
    <row r="51" spans="1:8" x14ac:dyDescent="0.2">
      <c r="A51" s="134"/>
      <c r="B51" s="182"/>
      <c r="C51" s="183"/>
      <c r="D51" s="184"/>
      <c r="E51" s="221"/>
      <c r="F51" s="186"/>
      <c r="G51" s="187"/>
      <c r="H51" s="188"/>
    </row>
    <row r="52" spans="1:8" x14ac:dyDescent="0.2">
      <c r="A52" s="134"/>
      <c r="B52" s="182"/>
      <c r="C52" s="201" t="s">
        <v>281</v>
      </c>
      <c r="D52" s="184"/>
      <c r="E52" s="189"/>
      <c r="F52" s="185"/>
      <c r="G52" s="187"/>
      <c r="H52" s="188"/>
    </row>
    <row r="53" spans="1:8" x14ac:dyDescent="0.2">
      <c r="A53" s="134"/>
      <c r="B53" s="182"/>
      <c r="C53" s="202" t="s">
        <v>273</v>
      </c>
      <c r="D53" s="184"/>
      <c r="E53" s="203">
        <f xml:space="preserve"> vbaIsError(CalIntwGBMgr(K20,E30,E17,E16,K19,E25,E27,E45,E44,E22,E28,E29))</f>
        <v>23.69616407257281</v>
      </c>
      <c r="F53" s="186"/>
      <c r="G53" s="187"/>
      <c r="H53" s="188"/>
    </row>
    <row r="54" spans="1:8" x14ac:dyDescent="0.2">
      <c r="A54" s="134"/>
      <c r="B54" s="182"/>
      <c r="C54" s="204" t="s">
        <v>274</v>
      </c>
      <c r="D54" s="184"/>
      <c r="E54" s="205">
        <f xml:space="preserve"> vbaIsError(CalRelwGBMgr(K20,E30,E17,E16,K19,E25,E27,E45,E44,E22,E28,E29))</f>
        <v>0.85</v>
      </c>
      <c r="F54" s="186"/>
      <c r="G54" s="187"/>
      <c r="H54" s="188"/>
    </row>
    <row r="55" spans="1:8" x14ac:dyDescent="0.2">
      <c r="A55" s="134"/>
      <c r="B55" s="190"/>
      <c r="C55" s="191"/>
      <c r="D55" s="192"/>
      <c r="E55" s="193"/>
      <c r="F55" s="193"/>
      <c r="G55" s="193"/>
      <c r="H55" s="194"/>
    </row>
    <row r="56" spans="1:8" ht="15.75" x14ac:dyDescent="0.2">
      <c r="B56" s="433" t="s">
        <v>295</v>
      </c>
      <c r="C56" s="434"/>
      <c r="D56" s="434"/>
      <c r="E56" s="434"/>
      <c r="F56" s="434"/>
      <c r="G56" s="434"/>
      <c r="H56" s="435"/>
    </row>
    <row r="57" spans="1:8" x14ac:dyDescent="0.2">
      <c r="A57" s="134"/>
      <c r="B57" s="182"/>
      <c r="C57" s="183"/>
      <c r="D57" s="184"/>
      <c r="E57" s="185"/>
      <c r="F57" s="185"/>
      <c r="G57" s="186"/>
      <c r="H57" s="206"/>
    </row>
    <row r="58" spans="1:8" x14ac:dyDescent="0.2">
      <c r="A58" s="134"/>
      <c r="B58" s="182"/>
      <c r="C58" s="201" t="s">
        <v>296</v>
      </c>
      <c r="D58" s="184"/>
      <c r="E58" s="189"/>
      <c r="F58" s="185"/>
      <c r="G58" s="187"/>
      <c r="H58" s="188"/>
    </row>
    <row r="59" spans="1:8" x14ac:dyDescent="0.2">
      <c r="A59" s="134"/>
      <c r="B59" s="182"/>
      <c r="C59" s="202" t="s">
        <v>297</v>
      </c>
      <c r="D59" s="184"/>
      <c r="E59" s="203">
        <f xml:space="preserve"> vbaIsError(CalIntMgr(K20,E30,E17,E16,K19,E25,E27,E22,E28,E29,E24))</f>
        <v>23.696164072572788</v>
      </c>
      <c r="F59" s="186"/>
      <c r="G59" s="187"/>
      <c r="H59" s="188"/>
    </row>
    <row r="60" spans="1:8" x14ac:dyDescent="0.2">
      <c r="A60" s="134"/>
      <c r="B60" s="182"/>
      <c r="C60" s="201" t="s">
        <v>298</v>
      </c>
      <c r="D60" s="184"/>
      <c r="E60" s="208"/>
      <c r="F60" s="208"/>
      <c r="G60" s="187"/>
      <c r="H60" s="188"/>
    </row>
    <row r="61" spans="1:8" x14ac:dyDescent="0.2">
      <c r="A61" s="134"/>
      <c r="B61" s="182"/>
      <c r="C61" s="202" t="s">
        <v>297</v>
      </c>
      <c r="D61" s="184"/>
      <c r="E61" s="205">
        <f xml:space="preserve"> vbaIsError(CalRelMgr(K20,E30,E17,E16,K19,E25,E27,E22,E28,E29,E24))</f>
        <v>0.85</v>
      </c>
      <c r="F61" s="186"/>
      <c r="G61" s="187"/>
      <c r="H61" s="188"/>
    </row>
    <row r="62" spans="1:8" x14ac:dyDescent="0.2">
      <c r="A62" s="134"/>
      <c r="B62" s="182"/>
      <c r="C62" s="183"/>
      <c r="D62" s="184"/>
      <c r="E62" s="189"/>
      <c r="F62" s="185"/>
      <c r="G62" s="187"/>
      <c r="H62" s="188"/>
    </row>
    <row r="63" spans="1:8" x14ac:dyDescent="0.2">
      <c r="A63" s="134"/>
      <c r="B63" s="182"/>
      <c r="C63" s="173" t="s">
        <v>299</v>
      </c>
      <c r="D63" s="184"/>
      <c r="E63" s="205">
        <f xml:space="preserve"> vbaIsError(PFAmgr(K20, E30, E17, E16, K19, E61, E22, E22 ))</f>
        <v>1.4712528968682914E-2</v>
      </c>
      <c r="F63" s="185"/>
      <c r="G63" s="185"/>
      <c r="H63" s="220"/>
    </row>
    <row r="64" spans="1:8" x14ac:dyDescent="0.2">
      <c r="A64" s="134"/>
      <c r="B64" s="182"/>
      <c r="C64" s="173" t="s">
        <v>300</v>
      </c>
      <c r="D64" s="184"/>
      <c r="E64" s="205">
        <f xml:space="preserve"> vbaIsError(PFRmgr(K20, E30, E17, E16, K19, E61, E22, E22 ))</f>
        <v>1.8667457876881399E-2</v>
      </c>
      <c r="F64" s="185"/>
      <c r="G64" s="185"/>
      <c r="H64" s="220"/>
    </row>
    <row r="65" spans="1:8" x14ac:dyDescent="0.2">
      <c r="A65" s="134"/>
      <c r="B65" s="182"/>
      <c r="C65" s="183" t="s">
        <v>301</v>
      </c>
      <c r="D65" s="184"/>
      <c r="E65" s="205">
        <f xml:space="preserve"> vbaIsError(E63+E64)</f>
        <v>3.3379986845564313E-2</v>
      </c>
      <c r="F65" s="185"/>
      <c r="G65" s="208"/>
      <c r="H65" s="209"/>
    </row>
    <row r="66" spans="1:8" x14ac:dyDescent="0.2">
      <c r="A66" s="134"/>
      <c r="B66" s="190"/>
      <c r="C66" s="191"/>
      <c r="D66" s="192"/>
      <c r="E66" s="193"/>
      <c r="F66" s="193"/>
      <c r="G66" s="193"/>
      <c r="H66" s="194"/>
    </row>
    <row r="67" spans="1:8" x14ac:dyDescent="0.2">
      <c r="A67" s="134"/>
      <c r="B67" s="134"/>
      <c r="C67" s="135"/>
      <c r="D67" s="134"/>
      <c r="E67" s="134"/>
      <c r="F67" s="134"/>
      <c r="G67" s="134"/>
      <c r="H67" s="134"/>
    </row>
  </sheetData>
  <sheetProtection sheet="1" objects="1" scenarios="1" formatCells="0" formatColumns="0" formatRows="0" sort="0" autoFilter="0"/>
  <mergeCells count="29">
    <mergeCell ref="B14:H14"/>
    <mergeCell ref="B34:H34"/>
    <mergeCell ref="B42:H42"/>
    <mergeCell ref="B56:H56"/>
    <mergeCell ref="B4:C4"/>
    <mergeCell ref="D4:H4"/>
    <mergeCell ref="B5:C5"/>
    <mergeCell ref="D5:H5"/>
    <mergeCell ref="B6:C6"/>
    <mergeCell ref="D6:H6"/>
    <mergeCell ref="B7:C7"/>
    <mergeCell ref="D7:H7"/>
    <mergeCell ref="B8:C8"/>
    <mergeCell ref="D8:H8"/>
    <mergeCell ref="B12:C12"/>
    <mergeCell ref="D12:H12"/>
    <mergeCell ref="B1:H1"/>
    <mergeCell ref="B2:C2"/>
    <mergeCell ref="D2:H2"/>
    <mergeCell ref="B3:C3"/>
    <mergeCell ref="D3:H3"/>
    <mergeCell ref="B13:C13"/>
    <mergeCell ref="D13:H13"/>
    <mergeCell ref="B9:C9"/>
    <mergeCell ref="D9:H9"/>
    <mergeCell ref="B10:C10"/>
    <mergeCell ref="D10:H10"/>
    <mergeCell ref="B11:C11"/>
    <mergeCell ref="D11:H11"/>
  </mergeCells>
  <pageMargins left="1" right="0.7" top="0.75" bottom="0.5" header="0.3" footer="0.3"/>
  <pageSetup scale="7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6355" r:id="rId4" name="btnUncReturn">
              <controlPr defaultSize="0" print="0" autoFill="0" autoPict="0" macro="[0]!RiskReport.btnGBReturn_click">
                <anchor>
                  <from>
                    <xdr:col>0</xdr:col>
                    <xdr:colOff>123825</xdr:colOff>
                    <xdr:row>0</xdr:row>
                    <xdr:rowOff>114300</xdr:rowOff>
                  </from>
                  <to>
                    <xdr:col>0</xdr:col>
                    <xdr:colOff>1133475</xdr:colOff>
                    <xdr:row>0</xdr:row>
                    <xdr:rowOff>495300</xdr:rowOff>
                  </to>
                </anchor>
              </controlPr>
            </control>
          </mc:Choice>
        </mc:AlternateContent>
        <mc:AlternateContent xmlns:mc="http://schemas.openxmlformats.org/markup-compatibility/2006">
          <mc:Choice Requires="x14">
            <control shapeId="356356" r:id="rId5" name="btnCancel">
              <controlPr defaultSize="0" print="0" autoFill="0" autoPict="0" macro="[0]!RiskReport.btnGBCancel_click">
                <anchor>
                  <from>
                    <xdr:col>0</xdr:col>
                    <xdr:colOff>123825</xdr:colOff>
                    <xdr:row>0</xdr:row>
                    <xdr:rowOff>504825</xdr:rowOff>
                  </from>
                  <to>
                    <xdr:col>0</xdr:col>
                    <xdr:colOff>1133475</xdr:colOff>
                    <xdr:row>1</xdr:row>
                    <xdr:rowOff>314325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easured">
    <pageSetUpPr fitToPage="1"/>
  </sheetPr>
  <dimension ref="A1:L73"/>
  <sheetViews>
    <sheetView showGridLines="0" zoomScaleNormal="100" workbookViewId="0">
      <selection activeCell="E59" sqref="E59"/>
    </sheetView>
  </sheetViews>
  <sheetFormatPr defaultRowHeight="12.75" x14ac:dyDescent="0.2"/>
  <cols>
    <col min="1" max="1" width="17.85546875" style="6" customWidth="1"/>
    <col min="2" max="2" width="6.85546875" style="6" customWidth="1"/>
    <col min="3" max="3" width="40.85546875" style="6" customWidth="1"/>
    <col min="4" max="4" width="5.140625" style="6" customWidth="1"/>
    <col min="5" max="5" width="15.140625" style="6" customWidth="1"/>
    <col min="6" max="6" width="7.85546875" style="6" customWidth="1"/>
    <col min="7" max="8" width="10.85546875" style="6" customWidth="1"/>
    <col min="9" max="10" width="8.85546875" style="6"/>
    <col min="11" max="11" width="10.5703125" style="64" hidden="1" customWidth="1"/>
    <col min="12" max="12" width="8.85546875" style="6" hidden="1" customWidth="1"/>
    <col min="13" max="256" width="8.85546875" style="6"/>
    <col min="257" max="257" width="17.85546875" style="6" customWidth="1"/>
    <col min="258" max="258" width="6.85546875" style="6" customWidth="1"/>
    <col min="259" max="259" width="40.85546875" style="6" customWidth="1"/>
    <col min="260" max="260" width="5.140625" style="6" customWidth="1"/>
    <col min="261" max="261" width="15.140625" style="6" customWidth="1"/>
    <col min="262" max="262" width="7.85546875" style="6" customWidth="1"/>
    <col min="263" max="264" width="10.85546875" style="6" customWidth="1"/>
    <col min="265" max="266" width="8.85546875" style="6"/>
    <col min="267" max="268" width="0" style="6" hidden="1" customWidth="1"/>
    <col min="269" max="512" width="8.85546875" style="6"/>
    <col min="513" max="513" width="17.85546875" style="6" customWidth="1"/>
    <col min="514" max="514" width="6.85546875" style="6" customWidth="1"/>
    <col min="515" max="515" width="40.85546875" style="6" customWidth="1"/>
    <col min="516" max="516" width="5.140625" style="6" customWidth="1"/>
    <col min="517" max="517" width="15.140625" style="6" customWidth="1"/>
    <col min="518" max="518" width="7.85546875" style="6" customWidth="1"/>
    <col min="519" max="520" width="10.85546875" style="6" customWidth="1"/>
    <col min="521" max="522" width="8.85546875" style="6"/>
    <col min="523" max="524" width="0" style="6" hidden="1" customWidth="1"/>
    <col min="525" max="768" width="8.85546875" style="6"/>
    <col min="769" max="769" width="17.85546875" style="6" customWidth="1"/>
    <col min="770" max="770" width="6.85546875" style="6" customWidth="1"/>
    <col min="771" max="771" width="40.85546875" style="6" customWidth="1"/>
    <col min="772" max="772" width="5.140625" style="6" customWidth="1"/>
    <col min="773" max="773" width="15.140625" style="6" customWidth="1"/>
    <col min="774" max="774" width="7.85546875" style="6" customWidth="1"/>
    <col min="775" max="776" width="10.85546875" style="6" customWidth="1"/>
    <col min="777" max="778" width="8.85546875" style="6"/>
    <col min="779" max="780" width="0" style="6" hidden="1" customWidth="1"/>
    <col min="781" max="1024" width="8.85546875" style="6"/>
    <col min="1025" max="1025" width="17.85546875" style="6" customWidth="1"/>
    <col min="1026" max="1026" width="6.85546875" style="6" customWidth="1"/>
    <col min="1027" max="1027" width="40.85546875" style="6" customWidth="1"/>
    <col min="1028" max="1028" width="5.140625" style="6" customWidth="1"/>
    <col min="1029" max="1029" width="15.140625" style="6" customWidth="1"/>
    <col min="1030" max="1030" width="7.85546875" style="6" customWidth="1"/>
    <col min="1031" max="1032" width="10.85546875" style="6" customWidth="1"/>
    <col min="1033" max="1034" width="8.85546875" style="6"/>
    <col min="1035" max="1036" width="0" style="6" hidden="1" customWidth="1"/>
    <col min="1037" max="1280" width="8.85546875" style="6"/>
    <col min="1281" max="1281" width="17.85546875" style="6" customWidth="1"/>
    <col min="1282" max="1282" width="6.85546875" style="6" customWidth="1"/>
    <col min="1283" max="1283" width="40.85546875" style="6" customWidth="1"/>
    <col min="1284" max="1284" width="5.140625" style="6" customWidth="1"/>
    <col min="1285" max="1285" width="15.140625" style="6" customWidth="1"/>
    <col min="1286" max="1286" width="7.85546875" style="6" customWidth="1"/>
    <col min="1287" max="1288" width="10.85546875" style="6" customWidth="1"/>
    <col min="1289" max="1290" width="8.85546875" style="6"/>
    <col min="1291" max="1292" width="0" style="6" hidden="1" customWidth="1"/>
    <col min="1293" max="1536" width="8.85546875" style="6"/>
    <col min="1537" max="1537" width="17.85546875" style="6" customWidth="1"/>
    <col min="1538" max="1538" width="6.85546875" style="6" customWidth="1"/>
    <col min="1539" max="1539" width="40.85546875" style="6" customWidth="1"/>
    <col min="1540" max="1540" width="5.140625" style="6" customWidth="1"/>
    <col min="1541" max="1541" width="15.140625" style="6" customWidth="1"/>
    <col min="1542" max="1542" width="7.85546875" style="6" customWidth="1"/>
    <col min="1543" max="1544" width="10.85546875" style="6" customWidth="1"/>
    <col min="1545" max="1546" width="8.85546875" style="6"/>
    <col min="1547" max="1548" width="0" style="6" hidden="1" customWidth="1"/>
    <col min="1549" max="1792" width="8.85546875" style="6"/>
    <col min="1793" max="1793" width="17.85546875" style="6" customWidth="1"/>
    <col min="1794" max="1794" width="6.85546875" style="6" customWidth="1"/>
    <col min="1795" max="1795" width="40.85546875" style="6" customWidth="1"/>
    <col min="1796" max="1796" width="5.140625" style="6" customWidth="1"/>
    <col min="1797" max="1797" width="15.140625" style="6" customWidth="1"/>
    <col min="1798" max="1798" width="7.85546875" style="6" customWidth="1"/>
    <col min="1799" max="1800" width="10.85546875" style="6" customWidth="1"/>
    <col min="1801" max="1802" width="8.85546875" style="6"/>
    <col min="1803" max="1804" width="0" style="6" hidden="1" customWidth="1"/>
    <col min="1805" max="2048" width="8.85546875" style="6"/>
    <col min="2049" max="2049" width="17.85546875" style="6" customWidth="1"/>
    <col min="2050" max="2050" width="6.85546875" style="6" customWidth="1"/>
    <col min="2051" max="2051" width="40.85546875" style="6" customWidth="1"/>
    <col min="2052" max="2052" width="5.140625" style="6" customWidth="1"/>
    <col min="2053" max="2053" width="15.140625" style="6" customWidth="1"/>
    <col min="2054" max="2054" width="7.85546875" style="6" customWidth="1"/>
    <col min="2055" max="2056" width="10.85546875" style="6" customWidth="1"/>
    <col min="2057" max="2058" width="8.85546875" style="6"/>
    <col min="2059" max="2060" width="0" style="6" hidden="1" customWidth="1"/>
    <col min="2061" max="2304" width="8.85546875" style="6"/>
    <col min="2305" max="2305" width="17.85546875" style="6" customWidth="1"/>
    <col min="2306" max="2306" width="6.85546875" style="6" customWidth="1"/>
    <col min="2307" max="2307" width="40.85546875" style="6" customWidth="1"/>
    <col min="2308" max="2308" width="5.140625" style="6" customWidth="1"/>
    <col min="2309" max="2309" width="15.140625" style="6" customWidth="1"/>
    <col min="2310" max="2310" width="7.85546875" style="6" customWidth="1"/>
    <col min="2311" max="2312" width="10.85546875" style="6" customWidth="1"/>
    <col min="2313" max="2314" width="8.85546875" style="6"/>
    <col min="2315" max="2316" width="0" style="6" hidden="1" customWidth="1"/>
    <col min="2317" max="2560" width="8.85546875" style="6"/>
    <col min="2561" max="2561" width="17.85546875" style="6" customWidth="1"/>
    <col min="2562" max="2562" width="6.85546875" style="6" customWidth="1"/>
    <col min="2563" max="2563" width="40.85546875" style="6" customWidth="1"/>
    <col min="2564" max="2564" width="5.140625" style="6" customWidth="1"/>
    <col min="2565" max="2565" width="15.140625" style="6" customWidth="1"/>
    <col min="2566" max="2566" width="7.85546875" style="6" customWidth="1"/>
    <col min="2567" max="2568" width="10.85546875" style="6" customWidth="1"/>
    <col min="2569" max="2570" width="8.85546875" style="6"/>
    <col min="2571" max="2572" width="0" style="6" hidden="1" customWidth="1"/>
    <col min="2573" max="2816" width="8.85546875" style="6"/>
    <col min="2817" max="2817" width="17.85546875" style="6" customWidth="1"/>
    <col min="2818" max="2818" width="6.85546875" style="6" customWidth="1"/>
    <col min="2819" max="2819" width="40.85546875" style="6" customWidth="1"/>
    <col min="2820" max="2820" width="5.140625" style="6" customWidth="1"/>
    <col min="2821" max="2821" width="15.140625" style="6" customWidth="1"/>
    <col min="2822" max="2822" width="7.85546875" style="6" customWidth="1"/>
    <col min="2823" max="2824" width="10.85546875" style="6" customWidth="1"/>
    <col min="2825" max="2826" width="8.85546875" style="6"/>
    <col min="2827" max="2828" width="0" style="6" hidden="1" customWidth="1"/>
    <col min="2829" max="3072" width="8.85546875" style="6"/>
    <col min="3073" max="3073" width="17.85546875" style="6" customWidth="1"/>
    <col min="3074" max="3074" width="6.85546875" style="6" customWidth="1"/>
    <col min="3075" max="3075" width="40.85546875" style="6" customWidth="1"/>
    <col min="3076" max="3076" width="5.140625" style="6" customWidth="1"/>
    <col min="3077" max="3077" width="15.140625" style="6" customWidth="1"/>
    <col min="3078" max="3078" width="7.85546875" style="6" customWidth="1"/>
    <col min="3079" max="3080" width="10.85546875" style="6" customWidth="1"/>
    <col min="3081" max="3082" width="8.85546875" style="6"/>
    <col min="3083" max="3084" width="0" style="6" hidden="1" customWidth="1"/>
    <col min="3085" max="3328" width="8.85546875" style="6"/>
    <col min="3329" max="3329" width="17.85546875" style="6" customWidth="1"/>
    <col min="3330" max="3330" width="6.85546875" style="6" customWidth="1"/>
    <col min="3331" max="3331" width="40.85546875" style="6" customWidth="1"/>
    <col min="3332" max="3332" width="5.140625" style="6" customWidth="1"/>
    <col min="3333" max="3333" width="15.140625" style="6" customWidth="1"/>
    <col min="3334" max="3334" width="7.85546875" style="6" customWidth="1"/>
    <col min="3335" max="3336" width="10.85546875" style="6" customWidth="1"/>
    <col min="3337" max="3338" width="8.85546875" style="6"/>
    <col min="3339" max="3340" width="0" style="6" hidden="1" customWidth="1"/>
    <col min="3341" max="3584" width="8.85546875" style="6"/>
    <col min="3585" max="3585" width="17.85546875" style="6" customWidth="1"/>
    <col min="3586" max="3586" width="6.85546875" style="6" customWidth="1"/>
    <col min="3587" max="3587" width="40.85546875" style="6" customWidth="1"/>
    <col min="3588" max="3588" width="5.140625" style="6" customWidth="1"/>
    <col min="3589" max="3589" width="15.140625" style="6" customWidth="1"/>
    <col min="3590" max="3590" width="7.85546875" style="6" customWidth="1"/>
    <col min="3591" max="3592" width="10.85546875" style="6" customWidth="1"/>
    <col min="3593" max="3594" width="8.85546875" style="6"/>
    <col min="3595" max="3596" width="0" style="6" hidden="1" customWidth="1"/>
    <col min="3597" max="3840" width="8.85546875" style="6"/>
    <col min="3841" max="3841" width="17.85546875" style="6" customWidth="1"/>
    <col min="3842" max="3842" width="6.85546875" style="6" customWidth="1"/>
    <col min="3843" max="3843" width="40.85546875" style="6" customWidth="1"/>
    <col min="3844" max="3844" width="5.140625" style="6" customWidth="1"/>
    <col min="3845" max="3845" width="15.140625" style="6" customWidth="1"/>
    <col min="3846" max="3846" width="7.85546875" style="6" customWidth="1"/>
    <col min="3847" max="3848" width="10.85546875" style="6" customWidth="1"/>
    <col min="3849" max="3850" width="8.85546875" style="6"/>
    <col min="3851" max="3852" width="0" style="6" hidden="1" customWidth="1"/>
    <col min="3853" max="4096" width="8.85546875" style="6"/>
    <col min="4097" max="4097" width="17.85546875" style="6" customWidth="1"/>
    <col min="4098" max="4098" width="6.85546875" style="6" customWidth="1"/>
    <col min="4099" max="4099" width="40.85546875" style="6" customWidth="1"/>
    <col min="4100" max="4100" width="5.140625" style="6" customWidth="1"/>
    <col min="4101" max="4101" width="15.140625" style="6" customWidth="1"/>
    <col min="4102" max="4102" width="7.85546875" style="6" customWidth="1"/>
    <col min="4103" max="4104" width="10.85546875" style="6" customWidth="1"/>
    <col min="4105" max="4106" width="8.85546875" style="6"/>
    <col min="4107" max="4108" width="0" style="6" hidden="1" customWidth="1"/>
    <col min="4109" max="4352" width="8.85546875" style="6"/>
    <col min="4353" max="4353" width="17.85546875" style="6" customWidth="1"/>
    <col min="4354" max="4354" width="6.85546875" style="6" customWidth="1"/>
    <col min="4355" max="4355" width="40.85546875" style="6" customWidth="1"/>
    <col min="4356" max="4356" width="5.140625" style="6" customWidth="1"/>
    <col min="4357" max="4357" width="15.140625" style="6" customWidth="1"/>
    <col min="4358" max="4358" width="7.85546875" style="6" customWidth="1"/>
    <col min="4359" max="4360" width="10.85546875" style="6" customWidth="1"/>
    <col min="4361" max="4362" width="8.85546875" style="6"/>
    <col min="4363" max="4364" width="0" style="6" hidden="1" customWidth="1"/>
    <col min="4365" max="4608" width="8.85546875" style="6"/>
    <col min="4609" max="4609" width="17.85546875" style="6" customWidth="1"/>
    <col min="4610" max="4610" width="6.85546875" style="6" customWidth="1"/>
    <col min="4611" max="4611" width="40.85546875" style="6" customWidth="1"/>
    <col min="4612" max="4612" width="5.140625" style="6" customWidth="1"/>
    <col min="4613" max="4613" width="15.140625" style="6" customWidth="1"/>
    <col min="4614" max="4614" width="7.85546875" style="6" customWidth="1"/>
    <col min="4615" max="4616" width="10.85546875" style="6" customWidth="1"/>
    <col min="4617" max="4618" width="8.85546875" style="6"/>
    <col min="4619" max="4620" width="0" style="6" hidden="1" customWidth="1"/>
    <col min="4621" max="4864" width="8.85546875" style="6"/>
    <col min="4865" max="4865" width="17.85546875" style="6" customWidth="1"/>
    <col min="4866" max="4866" width="6.85546875" style="6" customWidth="1"/>
    <col min="4867" max="4867" width="40.85546875" style="6" customWidth="1"/>
    <col min="4868" max="4868" width="5.140625" style="6" customWidth="1"/>
    <col min="4869" max="4869" width="15.140625" style="6" customWidth="1"/>
    <col min="4870" max="4870" width="7.85546875" style="6" customWidth="1"/>
    <col min="4871" max="4872" width="10.85546875" style="6" customWidth="1"/>
    <col min="4873" max="4874" width="8.85546875" style="6"/>
    <col min="4875" max="4876" width="0" style="6" hidden="1" customWidth="1"/>
    <col min="4877" max="5120" width="8.85546875" style="6"/>
    <col min="5121" max="5121" width="17.85546875" style="6" customWidth="1"/>
    <col min="5122" max="5122" width="6.85546875" style="6" customWidth="1"/>
    <col min="5123" max="5123" width="40.85546875" style="6" customWidth="1"/>
    <col min="5124" max="5124" width="5.140625" style="6" customWidth="1"/>
    <col min="5125" max="5125" width="15.140625" style="6" customWidth="1"/>
    <col min="5126" max="5126" width="7.85546875" style="6" customWidth="1"/>
    <col min="5127" max="5128" width="10.85546875" style="6" customWidth="1"/>
    <col min="5129" max="5130" width="8.85546875" style="6"/>
    <col min="5131" max="5132" width="0" style="6" hidden="1" customWidth="1"/>
    <col min="5133" max="5376" width="8.85546875" style="6"/>
    <col min="5377" max="5377" width="17.85546875" style="6" customWidth="1"/>
    <col min="5378" max="5378" width="6.85546875" style="6" customWidth="1"/>
    <col min="5379" max="5379" width="40.85546875" style="6" customWidth="1"/>
    <col min="5380" max="5380" width="5.140625" style="6" customWidth="1"/>
    <col min="5381" max="5381" width="15.140625" style="6" customWidth="1"/>
    <col min="5382" max="5382" width="7.85546875" style="6" customWidth="1"/>
    <col min="5383" max="5384" width="10.85546875" style="6" customWidth="1"/>
    <col min="5385" max="5386" width="8.85546875" style="6"/>
    <col min="5387" max="5388" width="0" style="6" hidden="1" customWidth="1"/>
    <col min="5389" max="5632" width="8.85546875" style="6"/>
    <col min="5633" max="5633" width="17.85546875" style="6" customWidth="1"/>
    <col min="5634" max="5634" width="6.85546875" style="6" customWidth="1"/>
    <col min="5635" max="5635" width="40.85546875" style="6" customWidth="1"/>
    <col min="5636" max="5636" width="5.140625" style="6" customWidth="1"/>
    <col min="5637" max="5637" width="15.140625" style="6" customWidth="1"/>
    <col min="5638" max="5638" width="7.85546875" style="6" customWidth="1"/>
    <col min="5639" max="5640" width="10.85546875" style="6" customWidth="1"/>
    <col min="5641" max="5642" width="8.85546875" style="6"/>
    <col min="5643" max="5644" width="0" style="6" hidden="1" customWidth="1"/>
    <col min="5645" max="5888" width="8.85546875" style="6"/>
    <col min="5889" max="5889" width="17.85546875" style="6" customWidth="1"/>
    <col min="5890" max="5890" width="6.85546875" style="6" customWidth="1"/>
    <col min="5891" max="5891" width="40.85546875" style="6" customWidth="1"/>
    <col min="5892" max="5892" width="5.140625" style="6" customWidth="1"/>
    <col min="5893" max="5893" width="15.140625" style="6" customWidth="1"/>
    <col min="5894" max="5894" width="7.85546875" style="6" customWidth="1"/>
    <col min="5895" max="5896" width="10.85546875" style="6" customWidth="1"/>
    <col min="5897" max="5898" width="8.85546875" style="6"/>
    <col min="5899" max="5900" width="0" style="6" hidden="1" customWidth="1"/>
    <col min="5901" max="6144" width="8.85546875" style="6"/>
    <col min="6145" max="6145" width="17.85546875" style="6" customWidth="1"/>
    <col min="6146" max="6146" width="6.85546875" style="6" customWidth="1"/>
    <col min="6147" max="6147" width="40.85546875" style="6" customWidth="1"/>
    <col min="6148" max="6148" width="5.140625" style="6" customWidth="1"/>
    <col min="6149" max="6149" width="15.140625" style="6" customWidth="1"/>
    <col min="6150" max="6150" width="7.85546875" style="6" customWidth="1"/>
    <col min="6151" max="6152" width="10.85546875" style="6" customWidth="1"/>
    <col min="6153" max="6154" width="8.85546875" style="6"/>
    <col min="6155" max="6156" width="0" style="6" hidden="1" customWidth="1"/>
    <col min="6157" max="6400" width="8.85546875" style="6"/>
    <col min="6401" max="6401" width="17.85546875" style="6" customWidth="1"/>
    <col min="6402" max="6402" width="6.85546875" style="6" customWidth="1"/>
    <col min="6403" max="6403" width="40.85546875" style="6" customWidth="1"/>
    <col min="6404" max="6404" width="5.140625" style="6" customWidth="1"/>
    <col min="6405" max="6405" width="15.140625" style="6" customWidth="1"/>
    <col min="6406" max="6406" width="7.85546875" style="6" customWidth="1"/>
    <col min="6407" max="6408" width="10.85546875" style="6" customWidth="1"/>
    <col min="6409" max="6410" width="8.85546875" style="6"/>
    <col min="6411" max="6412" width="0" style="6" hidden="1" customWidth="1"/>
    <col min="6413" max="6656" width="8.85546875" style="6"/>
    <col min="6657" max="6657" width="17.85546875" style="6" customWidth="1"/>
    <col min="6658" max="6658" width="6.85546875" style="6" customWidth="1"/>
    <col min="6659" max="6659" width="40.85546875" style="6" customWidth="1"/>
    <col min="6660" max="6660" width="5.140625" style="6" customWidth="1"/>
    <col min="6661" max="6661" width="15.140625" style="6" customWidth="1"/>
    <col min="6662" max="6662" width="7.85546875" style="6" customWidth="1"/>
    <col min="6663" max="6664" width="10.85546875" style="6" customWidth="1"/>
    <col min="6665" max="6666" width="8.85546875" style="6"/>
    <col min="6667" max="6668" width="0" style="6" hidden="1" customWidth="1"/>
    <col min="6669" max="6912" width="8.85546875" style="6"/>
    <col min="6913" max="6913" width="17.85546875" style="6" customWidth="1"/>
    <col min="6914" max="6914" width="6.85546875" style="6" customWidth="1"/>
    <col min="6915" max="6915" width="40.85546875" style="6" customWidth="1"/>
    <col min="6916" max="6916" width="5.140625" style="6" customWidth="1"/>
    <col min="6917" max="6917" width="15.140625" style="6" customWidth="1"/>
    <col min="6918" max="6918" width="7.85546875" style="6" customWidth="1"/>
    <col min="6919" max="6920" width="10.85546875" style="6" customWidth="1"/>
    <col min="6921" max="6922" width="8.85546875" style="6"/>
    <col min="6923" max="6924" width="0" style="6" hidden="1" customWidth="1"/>
    <col min="6925" max="7168" width="8.85546875" style="6"/>
    <col min="7169" max="7169" width="17.85546875" style="6" customWidth="1"/>
    <col min="7170" max="7170" width="6.85546875" style="6" customWidth="1"/>
    <col min="7171" max="7171" width="40.85546875" style="6" customWidth="1"/>
    <col min="7172" max="7172" width="5.140625" style="6" customWidth="1"/>
    <col min="7173" max="7173" width="15.140625" style="6" customWidth="1"/>
    <col min="7174" max="7174" width="7.85546875" style="6" customWidth="1"/>
    <col min="7175" max="7176" width="10.85546875" style="6" customWidth="1"/>
    <col min="7177" max="7178" width="8.85546875" style="6"/>
    <col min="7179" max="7180" width="0" style="6" hidden="1" customWidth="1"/>
    <col min="7181" max="7424" width="8.85546875" style="6"/>
    <col min="7425" max="7425" width="17.85546875" style="6" customWidth="1"/>
    <col min="7426" max="7426" width="6.85546875" style="6" customWidth="1"/>
    <col min="7427" max="7427" width="40.85546875" style="6" customWidth="1"/>
    <col min="7428" max="7428" width="5.140625" style="6" customWidth="1"/>
    <col min="7429" max="7429" width="15.140625" style="6" customWidth="1"/>
    <col min="7430" max="7430" width="7.85546875" style="6" customWidth="1"/>
    <col min="7431" max="7432" width="10.85546875" style="6" customWidth="1"/>
    <col min="7433" max="7434" width="8.85546875" style="6"/>
    <col min="7435" max="7436" width="0" style="6" hidden="1" customWidth="1"/>
    <col min="7437" max="7680" width="8.85546875" style="6"/>
    <col min="7681" max="7681" width="17.85546875" style="6" customWidth="1"/>
    <col min="7682" max="7682" width="6.85546875" style="6" customWidth="1"/>
    <col min="7683" max="7683" width="40.85546875" style="6" customWidth="1"/>
    <col min="7684" max="7684" width="5.140625" style="6" customWidth="1"/>
    <col min="7685" max="7685" width="15.140625" style="6" customWidth="1"/>
    <col min="7686" max="7686" width="7.85546875" style="6" customWidth="1"/>
    <col min="7687" max="7688" width="10.85546875" style="6" customWidth="1"/>
    <col min="7689" max="7690" width="8.85546875" style="6"/>
    <col min="7691" max="7692" width="0" style="6" hidden="1" customWidth="1"/>
    <col min="7693" max="7936" width="8.85546875" style="6"/>
    <col min="7937" max="7937" width="17.85546875" style="6" customWidth="1"/>
    <col min="7938" max="7938" width="6.85546875" style="6" customWidth="1"/>
    <col min="7939" max="7939" width="40.85546875" style="6" customWidth="1"/>
    <col min="7940" max="7940" width="5.140625" style="6" customWidth="1"/>
    <col min="7941" max="7941" width="15.140625" style="6" customWidth="1"/>
    <col min="7942" max="7942" width="7.85546875" style="6" customWidth="1"/>
    <col min="7943" max="7944" width="10.85546875" style="6" customWidth="1"/>
    <col min="7945" max="7946" width="8.85546875" style="6"/>
    <col min="7947" max="7948" width="0" style="6" hidden="1" customWidth="1"/>
    <col min="7949" max="8192" width="8.85546875" style="6"/>
    <col min="8193" max="8193" width="17.85546875" style="6" customWidth="1"/>
    <col min="8194" max="8194" width="6.85546875" style="6" customWidth="1"/>
    <col min="8195" max="8195" width="40.85546875" style="6" customWidth="1"/>
    <col min="8196" max="8196" width="5.140625" style="6" customWidth="1"/>
    <col min="8197" max="8197" width="15.140625" style="6" customWidth="1"/>
    <col min="8198" max="8198" width="7.85546875" style="6" customWidth="1"/>
    <col min="8199" max="8200" width="10.85546875" style="6" customWidth="1"/>
    <col min="8201" max="8202" width="8.85546875" style="6"/>
    <col min="8203" max="8204" width="0" style="6" hidden="1" customWidth="1"/>
    <col min="8205" max="8448" width="8.85546875" style="6"/>
    <col min="8449" max="8449" width="17.85546875" style="6" customWidth="1"/>
    <col min="8450" max="8450" width="6.85546875" style="6" customWidth="1"/>
    <col min="8451" max="8451" width="40.85546875" style="6" customWidth="1"/>
    <col min="8452" max="8452" width="5.140625" style="6" customWidth="1"/>
    <col min="8453" max="8453" width="15.140625" style="6" customWidth="1"/>
    <col min="8454" max="8454" width="7.85546875" style="6" customWidth="1"/>
    <col min="8455" max="8456" width="10.85546875" style="6" customWidth="1"/>
    <col min="8457" max="8458" width="8.85546875" style="6"/>
    <col min="8459" max="8460" width="0" style="6" hidden="1" customWidth="1"/>
    <col min="8461" max="8704" width="8.85546875" style="6"/>
    <col min="8705" max="8705" width="17.85546875" style="6" customWidth="1"/>
    <col min="8706" max="8706" width="6.85546875" style="6" customWidth="1"/>
    <col min="8707" max="8707" width="40.85546875" style="6" customWidth="1"/>
    <col min="8708" max="8708" width="5.140625" style="6" customWidth="1"/>
    <col min="8709" max="8709" width="15.140625" style="6" customWidth="1"/>
    <col min="8710" max="8710" width="7.85546875" style="6" customWidth="1"/>
    <col min="8711" max="8712" width="10.85546875" style="6" customWidth="1"/>
    <col min="8713" max="8714" width="8.85546875" style="6"/>
    <col min="8715" max="8716" width="0" style="6" hidden="1" customWidth="1"/>
    <col min="8717" max="8960" width="8.85546875" style="6"/>
    <col min="8961" max="8961" width="17.85546875" style="6" customWidth="1"/>
    <col min="8962" max="8962" width="6.85546875" style="6" customWidth="1"/>
    <col min="8963" max="8963" width="40.85546875" style="6" customWidth="1"/>
    <col min="8964" max="8964" width="5.140625" style="6" customWidth="1"/>
    <col min="8965" max="8965" width="15.140625" style="6" customWidth="1"/>
    <col min="8966" max="8966" width="7.85546875" style="6" customWidth="1"/>
    <col min="8967" max="8968" width="10.85546875" style="6" customWidth="1"/>
    <col min="8969" max="8970" width="8.85546875" style="6"/>
    <col min="8971" max="8972" width="0" style="6" hidden="1" customWidth="1"/>
    <col min="8973" max="9216" width="8.85546875" style="6"/>
    <col min="9217" max="9217" width="17.85546875" style="6" customWidth="1"/>
    <col min="9218" max="9218" width="6.85546875" style="6" customWidth="1"/>
    <col min="9219" max="9219" width="40.85546875" style="6" customWidth="1"/>
    <col min="9220" max="9220" width="5.140625" style="6" customWidth="1"/>
    <col min="9221" max="9221" width="15.140625" style="6" customWidth="1"/>
    <col min="9222" max="9222" width="7.85546875" style="6" customWidth="1"/>
    <col min="9223" max="9224" width="10.85546875" style="6" customWidth="1"/>
    <col min="9225" max="9226" width="8.85546875" style="6"/>
    <col min="9227" max="9228" width="0" style="6" hidden="1" customWidth="1"/>
    <col min="9229" max="9472" width="8.85546875" style="6"/>
    <col min="9473" max="9473" width="17.85546875" style="6" customWidth="1"/>
    <col min="9474" max="9474" width="6.85546875" style="6" customWidth="1"/>
    <col min="9475" max="9475" width="40.85546875" style="6" customWidth="1"/>
    <col min="9476" max="9476" width="5.140625" style="6" customWidth="1"/>
    <col min="9477" max="9477" width="15.140625" style="6" customWidth="1"/>
    <col min="9478" max="9478" width="7.85546875" style="6" customWidth="1"/>
    <col min="9479" max="9480" width="10.85546875" style="6" customWidth="1"/>
    <col min="9481" max="9482" width="8.85546875" style="6"/>
    <col min="9483" max="9484" width="0" style="6" hidden="1" customWidth="1"/>
    <col min="9485" max="9728" width="8.85546875" style="6"/>
    <col min="9729" max="9729" width="17.85546875" style="6" customWidth="1"/>
    <col min="9730" max="9730" width="6.85546875" style="6" customWidth="1"/>
    <col min="9731" max="9731" width="40.85546875" style="6" customWidth="1"/>
    <col min="9732" max="9732" width="5.140625" style="6" customWidth="1"/>
    <col min="9733" max="9733" width="15.140625" style="6" customWidth="1"/>
    <col min="9734" max="9734" width="7.85546875" style="6" customWidth="1"/>
    <col min="9735" max="9736" width="10.85546875" style="6" customWidth="1"/>
    <col min="9737" max="9738" width="8.85546875" style="6"/>
    <col min="9739" max="9740" width="0" style="6" hidden="1" customWidth="1"/>
    <col min="9741" max="9984" width="8.85546875" style="6"/>
    <col min="9985" max="9985" width="17.85546875" style="6" customWidth="1"/>
    <col min="9986" max="9986" width="6.85546875" style="6" customWidth="1"/>
    <col min="9987" max="9987" width="40.85546875" style="6" customWidth="1"/>
    <col min="9988" max="9988" width="5.140625" style="6" customWidth="1"/>
    <col min="9989" max="9989" width="15.140625" style="6" customWidth="1"/>
    <col min="9990" max="9990" width="7.85546875" style="6" customWidth="1"/>
    <col min="9991" max="9992" width="10.85546875" style="6" customWidth="1"/>
    <col min="9993" max="9994" width="8.85546875" style="6"/>
    <col min="9995" max="9996" width="0" style="6" hidden="1" customWidth="1"/>
    <col min="9997" max="10240" width="8.85546875" style="6"/>
    <col min="10241" max="10241" width="17.85546875" style="6" customWidth="1"/>
    <col min="10242" max="10242" width="6.85546875" style="6" customWidth="1"/>
    <col min="10243" max="10243" width="40.85546875" style="6" customWidth="1"/>
    <col min="10244" max="10244" width="5.140625" style="6" customWidth="1"/>
    <col min="10245" max="10245" width="15.140625" style="6" customWidth="1"/>
    <col min="10246" max="10246" width="7.85546875" style="6" customWidth="1"/>
    <col min="10247" max="10248" width="10.85546875" style="6" customWidth="1"/>
    <col min="10249" max="10250" width="8.85546875" style="6"/>
    <col min="10251" max="10252" width="0" style="6" hidden="1" customWidth="1"/>
    <col min="10253" max="10496" width="8.85546875" style="6"/>
    <col min="10497" max="10497" width="17.85546875" style="6" customWidth="1"/>
    <col min="10498" max="10498" width="6.85546875" style="6" customWidth="1"/>
    <col min="10499" max="10499" width="40.85546875" style="6" customWidth="1"/>
    <col min="10500" max="10500" width="5.140625" style="6" customWidth="1"/>
    <col min="10501" max="10501" width="15.140625" style="6" customWidth="1"/>
    <col min="10502" max="10502" width="7.85546875" style="6" customWidth="1"/>
    <col min="10503" max="10504" width="10.85546875" style="6" customWidth="1"/>
    <col min="10505" max="10506" width="8.85546875" style="6"/>
    <col min="10507" max="10508" width="0" style="6" hidden="1" customWidth="1"/>
    <col min="10509" max="10752" width="8.85546875" style="6"/>
    <col min="10753" max="10753" width="17.85546875" style="6" customWidth="1"/>
    <col min="10754" max="10754" width="6.85546875" style="6" customWidth="1"/>
    <col min="10755" max="10755" width="40.85546875" style="6" customWidth="1"/>
    <col min="10756" max="10756" width="5.140625" style="6" customWidth="1"/>
    <col min="10757" max="10757" width="15.140625" style="6" customWidth="1"/>
    <col min="10758" max="10758" width="7.85546875" style="6" customWidth="1"/>
    <col min="10759" max="10760" width="10.85546875" style="6" customWidth="1"/>
    <col min="10761" max="10762" width="8.85546875" style="6"/>
    <col min="10763" max="10764" width="0" style="6" hidden="1" customWidth="1"/>
    <col min="10765" max="11008" width="8.85546875" style="6"/>
    <col min="11009" max="11009" width="17.85546875" style="6" customWidth="1"/>
    <col min="11010" max="11010" width="6.85546875" style="6" customWidth="1"/>
    <col min="11011" max="11011" width="40.85546875" style="6" customWidth="1"/>
    <col min="11012" max="11012" width="5.140625" style="6" customWidth="1"/>
    <col min="11013" max="11013" width="15.140625" style="6" customWidth="1"/>
    <col min="11014" max="11014" width="7.85546875" style="6" customWidth="1"/>
    <col min="11015" max="11016" width="10.85546875" style="6" customWidth="1"/>
    <col min="11017" max="11018" width="8.85546875" style="6"/>
    <col min="11019" max="11020" width="0" style="6" hidden="1" customWidth="1"/>
    <col min="11021" max="11264" width="8.85546875" style="6"/>
    <col min="11265" max="11265" width="17.85546875" style="6" customWidth="1"/>
    <col min="11266" max="11266" width="6.85546875" style="6" customWidth="1"/>
    <col min="11267" max="11267" width="40.85546875" style="6" customWidth="1"/>
    <col min="11268" max="11268" width="5.140625" style="6" customWidth="1"/>
    <col min="11269" max="11269" width="15.140625" style="6" customWidth="1"/>
    <col min="11270" max="11270" width="7.85546875" style="6" customWidth="1"/>
    <col min="11271" max="11272" width="10.85546875" style="6" customWidth="1"/>
    <col min="11273" max="11274" width="8.85546875" style="6"/>
    <col min="11275" max="11276" width="0" style="6" hidden="1" customWidth="1"/>
    <col min="11277" max="11520" width="8.85546875" style="6"/>
    <col min="11521" max="11521" width="17.85546875" style="6" customWidth="1"/>
    <col min="11522" max="11522" width="6.85546875" style="6" customWidth="1"/>
    <col min="11523" max="11523" width="40.85546875" style="6" customWidth="1"/>
    <col min="11524" max="11524" width="5.140625" style="6" customWidth="1"/>
    <col min="11525" max="11525" width="15.140625" style="6" customWidth="1"/>
    <col min="11526" max="11526" width="7.85546875" style="6" customWidth="1"/>
    <col min="11527" max="11528" width="10.85546875" style="6" customWidth="1"/>
    <col min="11529" max="11530" width="8.85546875" style="6"/>
    <col min="11531" max="11532" width="0" style="6" hidden="1" customWidth="1"/>
    <col min="11533" max="11776" width="8.85546875" style="6"/>
    <col min="11777" max="11777" width="17.85546875" style="6" customWidth="1"/>
    <col min="11778" max="11778" width="6.85546875" style="6" customWidth="1"/>
    <col min="11779" max="11779" width="40.85546875" style="6" customWidth="1"/>
    <col min="11780" max="11780" width="5.140625" style="6" customWidth="1"/>
    <col min="11781" max="11781" width="15.140625" style="6" customWidth="1"/>
    <col min="11782" max="11782" width="7.85546875" style="6" customWidth="1"/>
    <col min="11783" max="11784" width="10.85546875" style="6" customWidth="1"/>
    <col min="11785" max="11786" width="8.85546875" style="6"/>
    <col min="11787" max="11788" width="0" style="6" hidden="1" customWidth="1"/>
    <col min="11789" max="12032" width="8.85546875" style="6"/>
    <col min="12033" max="12033" width="17.85546875" style="6" customWidth="1"/>
    <col min="12034" max="12034" width="6.85546875" style="6" customWidth="1"/>
    <col min="12035" max="12035" width="40.85546875" style="6" customWidth="1"/>
    <col min="12036" max="12036" width="5.140625" style="6" customWidth="1"/>
    <col min="12037" max="12037" width="15.140625" style="6" customWidth="1"/>
    <col min="12038" max="12038" width="7.85546875" style="6" customWidth="1"/>
    <col min="12039" max="12040" width="10.85546875" style="6" customWidth="1"/>
    <col min="12041" max="12042" width="8.85546875" style="6"/>
    <col min="12043" max="12044" width="0" style="6" hidden="1" customWidth="1"/>
    <col min="12045" max="12288" width="8.85546875" style="6"/>
    <col min="12289" max="12289" width="17.85546875" style="6" customWidth="1"/>
    <col min="12290" max="12290" width="6.85546875" style="6" customWidth="1"/>
    <col min="12291" max="12291" width="40.85546875" style="6" customWidth="1"/>
    <col min="12292" max="12292" width="5.140625" style="6" customWidth="1"/>
    <col min="12293" max="12293" width="15.140625" style="6" customWidth="1"/>
    <col min="12294" max="12294" width="7.85546875" style="6" customWidth="1"/>
    <col min="12295" max="12296" width="10.85546875" style="6" customWidth="1"/>
    <col min="12297" max="12298" width="8.85546875" style="6"/>
    <col min="12299" max="12300" width="0" style="6" hidden="1" customWidth="1"/>
    <col min="12301" max="12544" width="8.85546875" style="6"/>
    <col min="12545" max="12545" width="17.85546875" style="6" customWidth="1"/>
    <col min="12546" max="12546" width="6.85546875" style="6" customWidth="1"/>
    <col min="12547" max="12547" width="40.85546875" style="6" customWidth="1"/>
    <col min="12548" max="12548" width="5.140625" style="6" customWidth="1"/>
    <col min="12549" max="12549" width="15.140625" style="6" customWidth="1"/>
    <col min="12550" max="12550" width="7.85546875" style="6" customWidth="1"/>
    <col min="12551" max="12552" width="10.85546875" style="6" customWidth="1"/>
    <col min="12553" max="12554" width="8.85546875" style="6"/>
    <col min="12555" max="12556" width="0" style="6" hidden="1" customWidth="1"/>
    <col min="12557" max="12800" width="8.85546875" style="6"/>
    <col min="12801" max="12801" width="17.85546875" style="6" customWidth="1"/>
    <col min="12802" max="12802" width="6.85546875" style="6" customWidth="1"/>
    <col min="12803" max="12803" width="40.85546875" style="6" customWidth="1"/>
    <col min="12804" max="12804" width="5.140625" style="6" customWidth="1"/>
    <col min="12805" max="12805" width="15.140625" style="6" customWidth="1"/>
    <col min="12806" max="12806" width="7.85546875" style="6" customWidth="1"/>
    <col min="12807" max="12808" width="10.85546875" style="6" customWidth="1"/>
    <col min="12809" max="12810" width="8.85546875" style="6"/>
    <col min="12811" max="12812" width="0" style="6" hidden="1" customWidth="1"/>
    <col min="12813" max="13056" width="8.85546875" style="6"/>
    <col min="13057" max="13057" width="17.85546875" style="6" customWidth="1"/>
    <col min="13058" max="13058" width="6.85546875" style="6" customWidth="1"/>
    <col min="13059" max="13059" width="40.85546875" style="6" customWidth="1"/>
    <col min="13060" max="13060" width="5.140625" style="6" customWidth="1"/>
    <col min="13061" max="13061" width="15.140625" style="6" customWidth="1"/>
    <col min="13062" max="13062" width="7.85546875" style="6" customWidth="1"/>
    <col min="13063" max="13064" width="10.85546875" style="6" customWidth="1"/>
    <col min="13065" max="13066" width="8.85546875" style="6"/>
    <col min="13067" max="13068" width="0" style="6" hidden="1" customWidth="1"/>
    <col min="13069" max="13312" width="8.85546875" style="6"/>
    <col min="13313" max="13313" width="17.85546875" style="6" customWidth="1"/>
    <col min="13314" max="13314" width="6.85546875" style="6" customWidth="1"/>
    <col min="13315" max="13315" width="40.85546875" style="6" customWidth="1"/>
    <col min="13316" max="13316" width="5.140625" style="6" customWidth="1"/>
    <col min="13317" max="13317" width="15.140625" style="6" customWidth="1"/>
    <col min="13318" max="13318" width="7.85546875" style="6" customWidth="1"/>
    <col min="13319" max="13320" width="10.85546875" style="6" customWidth="1"/>
    <col min="13321" max="13322" width="8.85546875" style="6"/>
    <col min="13323" max="13324" width="0" style="6" hidden="1" customWidth="1"/>
    <col min="13325" max="13568" width="8.85546875" style="6"/>
    <col min="13569" max="13569" width="17.85546875" style="6" customWidth="1"/>
    <col min="13570" max="13570" width="6.85546875" style="6" customWidth="1"/>
    <col min="13571" max="13571" width="40.85546875" style="6" customWidth="1"/>
    <col min="13572" max="13572" width="5.140625" style="6" customWidth="1"/>
    <col min="13573" max="13573" width="15.140625" style="6" customWidth="1"/>
    <col min="13574" max="13574" width="7.85546875" style="6" customWidth="1"/>
    <col min="13575" max="13576" width="10.85546875" style="6" customWidth="1"/>
    <col min="13577" max="13578" width="8.85546875" style="6"/>
    <col min="13579" max="13580" width="0" style="6" hidden="1" customWidth="1"/>
    <col min="13581" max="13824" width="8.85546875" style="6"/>
    <col min="13825" max="13825" width="17.85546875" style="6" customWidth="1"/>
    <col min="13826" max="13826" width="6.85546875" style="6" customWidth="1"/>
    <col min="13827" max="13827" width="40.85546875" style="6" customWidth="1"/>
    <col min="13828" max="13828" width="5.140625" style="6" customWidth="1"/>
    <col min="13829" max="13829" width="15.140625" style="6" customWidth="1"/>
    <col min="13830" max="13830" width="7.85546875" style="6" customWidth="1"/>
    <col min="13831" max="13832" width="10.85546875" style="6" customWidth="1"/>
    <col min="13833" max="13834" width="8.85546875" style="6"/>
    <col min="13835" max="13836" width="0" style="6" hidden="1" customWidth="1"/>
    <col min="13837" max="14080" width="8.85546875" style="6"/>
    <col min="14081" max="14081" width="17.85546875" style="6" customWidth="1"/>
    <col min="14082" max="14082" width="6.85546875" style="6" customWidth="1"/>
    <col min="14083" max="14083" width="40.85546875" style="6" customWidth="1"/>
    <col min="14084" max="14084" width="5.140625" style="6" customWidth="1"/>
    <col min="14085" max="14085" width="15.140625" style="6" customWidth="1"/>
    <col min="14086" max="14086" width="7.85546875" style="6" customWidth="1"/>
    <col min="14087" max="14088" width="10.85546875" style="6" customWidth="1"/>
    <col min="14089" max="14090" width="8.85546875" style="6"/>
    <col min="14091" max="14092" width="0" style="6" hidden="1" customWidth="1"/>
    <col min="14093" max="14336" width="8.85546875" style="6"/>
    <col min="14337" max="14337" width="17.85546875" style="6" customWidth="1"/>
    <col min="14338" max="14338" width="6.85546875" style="6" customWidth="1"/>
    <col min="14339" max="14339" width="40.85546875" style="6" customWidth="1"/>
    <col min="14340" max="14340" width="5.140625" style="6" customWidth="1"/>
    <col min="14341" max="14341" width="15.140625" style="6" customWidth="1"/>
    <col min="14342" max="14342" width="7.85546875" style="6" customWidth="1"/>
    <col min="14343" max="14344" width="10.85546875" style="6" customWidth="1"/>
    <col min="14345" max="14346" width="8.85546875" style="6"/>
    <col min="14347" max="14348" width="0" style="6" hidden="1" customWidth="1"/>
    <col min="14349" max="14592" width="8.85546875" style="6"/>
    <col min="14593" max="14593" width="17.85546875" style="6" customWidth="1"/>
    <col min="14594" max="14594" width="6.85546875" style="6" customWidth="1"/>
    <col min="14595" max="14595" width="40.85546875" style="6" customWidth="1"/>
    <col min="14596" max="14596" width="5.140625" style="6" customWidth="1"/>
    <col min="14597" max="14597" width="15.140625" style="6" customWidth="1"/>
    <col min="14598" max="14598" width="7.85546875" style="6" customWidth="1"/>
    <col min="14599" max="14600" width="10.85546875" style="6" customWidth="1"/>
    <col min="14601" max="14602" width="8.85546875" style="6"/>
    <col min="14603" max="14604" width="0" style="6" hidden="1" customWidth="1"/>
    <col min="14605" max="14848" width="8.85546875" style="6"/>
    <col min="14849" max="14849" width="17.85546875" style="6" customWidth="1"/>
    <col min="14850" max="14850" width="6.85546875" style="6" customWidth="1"/>
    <col min="14851" max="14851" width="40.85546875" style="6" customWidth="1"/>
    <col min="14852" max="14852" width="5.140625" style="6" customWidth="1"/>
    <col min="14853" max="14853" width="15.140625" style="6" customWidth="1"/>
    <col min="14854" max="14854" width="7.85546875" style="6" customWidth="1"/>
    <col min="14855" max="14856" width="10.85546875" style="6" customWidth="1"/>
    <col min="14857" max="14858" width="8.85546875" style="6"/>
    <col min="14859" max="14860" width="0" style="6" hidden="1" customWidth="1"/>
    <col min="14861" max="15104" width="8.85546875" style="6"/>
    <col min="15105" max="15105" width="17.85546875" style="6" customWidth="1"/>
    <col min="15106" max="15106" width="6.85546875" style="6" customWidth="1"/>
    <col min="15107" max="15107" width="40.85546875" style="6" customWidth="1"/>
    <col min="15108" max="15108" width="5.140625" style="6" customWidth="1"/>
    <col min="15109" max="15109" width="15.140625" style="6" customWidth="1"/>
    <col min="15110" max="15110" width="7.85546875" style="6" customWidth="1"/>
    <col min="15111" max="15112" width="10.85546875" style="6" customWidth="1"/>
    <col min="15113" max="15114" width="8.85546875" style="6"/>
    <col min="15115" max="15116" width="0" style="6" hidden="1" customWidth="1"/>
    <col min="15117" max="15360" width="8.85546875" style="6"/>
    <col min="15361" max="15361" width="17.85546875" style="6" customWidth="1"/>
    <col min="15362" max="15362" width="6.85546875" style="6" customWidth="1"/>
    <col min="15363" max="15363" width="40.85546875" style="6" customWidth="1"/>
    <col min="15364" max="15364" width="5.140625" style="6" customWidth="1"/>
    <col min="15365" max="15365" width="15.140625" style="6" customWidth="1"/>
    <col min="15366" max="15366" width="7.85546875" style="6" customWidth="1"/>
    <col min="15367" max="15368" width="10.85546875" style="6" customWidth="1"/>
    <col min="15369" max="15370" width="8.85546875" style="6"/>
    <col min="15371" max="15372" width="0" style="6" hidden="1" customWidth="1"/>
    <col min="15373" max="15616" width="8.85546875" style="6"/>
    <col min="15617" max="15617" width="17.85546875" style="6" customWidth="1"/>
    <col min="15618" max="15618" width="6.85546875" style="6" customWidth="1"/>
    <col min="15619" max="15619" width="40.85546875" style="6" customWidth="1"/>
    <col min="15620" max="15620" width="5.140625" style="6" customWidth="1"/>
    <col min="15621" max="15621" width="15.140625" style="6" customWidth="1"/>
    <col min="15622" max="15622" width="7.85546875" style="6" customWidth="1"/>
    <col min="15623" max="15624" width="10.85546875" style="6" customWidth="1"/>
    <col min="15625" max="15626" width="8.85546875" style="6"/>
    <col min="15627" max="15628" width="0" style="6" hidden="1" customWidth="1"/>
    <col min="15629" max="15872" width="8.85546875" style="6"/>
    <col min="15873" max="15873" width="17.85546875" style="6" customWidth="1"/>
    <col min="15874" max="15874" width="6.85546875" style="6" customWidth="1"/>
    <col min="15875" max="15875" width="40.85546875" style="6" customWidth="1"/>
    <col min="15876" max="15876" width="5.140625" style="6" customWidth="1"/>
    <col min="15877" max="15877" width="15.140625" style="6" customWidth="1"/>
    <col min="15878" max="15878" width="7.85546875" style="6" customWidth="1"/>
    <col min="15879" max="15880" width="10.85546875" style="6" customWidth="1"/>
    <col min="15881" max="15882" width="8.85546875" style="6"/>
    <col min="15883" max="15884" width="0" style="6" hidden="1" customWidth="1"/>
    <col min="15885" max="16128" width="8.85546875" style="6"/>
    <col min="16129" max="16129" width="17.85546875" style="6" customWidth="1"/>
    <col min="16130" max="16130" width="6.85546875" style="6" customWidth="1"/>
    <col min="16131" max="16131" width="40.85546875" style="6" customWidth="1"/>
    <col min="16132" max="16132" width="5.140625" style="6" customWidth="1"/>
    <col min="16133" max="16133" width="15.140625" style="6" customWidth="1"/>
    <col min="16134" max="16134" width="7.85546875" style="6" customWidth="1"/>
    <col min="16135" max="16136" width="10.85546875" style="6" customWidth="1"/>
    <col min="16137" max="16138" width="8.85546875" style="6"/>
    <col min="16139" max="16140" width="0" style="6" hidden="1" customWidth="1"/>
    <col min="16141" max="16384" width="8.85546875" style="6"/>
  </cols>
  <sheetData>
    <row r="1" spans="1:12" ht="45" customHeight="1" thickBot="1" x14ac:dyDescent="0.4">
      <c r="B1" s="424" t="s">
        <v>275</v>
      </c>
      <c r="C1" s="425"/>
      <c r="D1" s="426"/>
      <c r="E1" s="426"/>
      <c r="F1" s="426"/>
      <c r="G1" s="426"/>
      <c r="H1" s="427"/>
    </row>
    <row r="2" spans="1:12" ht="30" customHeight="1" x14ac:dyDescent="0.2">
      <c r="B2" s="317" t="s">
        <v>316</v>
      </c>
      <c r="C2" s="317"/>
      <c r="D2" s="432" t="s">
        <v>327</v>
      </c>
      <c r="E2" s="429"/>
      <c r="F2" s="429"/>
      <c r="G2" s="429"/>
      <c r="H2" s="430"/>
      <c r="K2" s="64" t="s">
        <v>354</v>
      </c>
      <c r="L2" s="197"/>
    </row>
    <row r="3" spans="1:12" ht="15.6" customHeight="1" x14ac:dyDescent="0.2">
      <c r="B3" s="317" t="s">
        <v>5</v>
      </c>
      <c r="C3" s="317"/>
      <c r="D3" s="417" t="s">
        <v>359</v>
      </c>
      <c r="E3" s="418"/>
      <c r="F3" s="418"/>
      <c r="G3" s="418"/>
      <c r="H3" s="419"/>
      <c r="K3" s="64">
        <v>9</v>
      </c>
      <c r="L3" s="197"/>
    </row>
    <row r="4" spans="1:12" ht="12.75" customHeight="1" x14ac:dyDescent="0.2">
      <c r="B4" s="317" t="s">
        <v>3</v>
      </c>
      <c r="C4" s="317"/>
      <c r="D4" s="417" t="s">
        <v>360</v>
      </c>
      <c r="E4" s="418"/>
      <c r="F4" s="418"/>
      <c r="G4" s="418"/>
      <c r="H4" s="419"/>
      <c r="K4" s="64" t="s">
        <v>260</v>
      </c>
      <c r="L4" s="197"/>
    </row>
    <row r="5" spans="1:12" ht="13.35" customHeight="1" x14ac:dyDescent="0.2">
      <c r="B5" s="317" t="s">
        <v>321</v>
      </c>
      <c r="C5" s="317"/>
      <c r="D5" s="431">
        <v>44393</v>
      </c>
      <c r="E5" s="418"/>
      <c r="F5" s="418"/>
      <c r="G5" s="418"/>
      <c r="H5" s="419"/>
      <c r="K5" s="64" t="s">
        <v>302</v>
      </c>
      <c r="L5" s="197"/>
    </row>
    <row r="6" spans="1:12" ht="13.35" customHeight="1" x14ac:dyDescent="0.2">
      <c r="B6" s="317" t="s">
        <v>68</v>
      </c>
      <c r="C6" s="317"/>
      <c r="D6" s="417" t="s">
        <v>355</v>
      </c>
      <c r="E6" s="418"/>
      <c r="F6" s="418"/>
      <c r="G6" s="418"/>
      <c r="H6" s="419"/>
      <c r="K6" s="64" t="s">
        <v>303</v>
      </c>
      <c r="L6" s="197"/>
    </row>
    <row r="7" spans="1:12" ht="13.35" customHeight="1" x14ac:dyDescent="0.2">
      <c r="B7" s="317" t="s">
        <v>309</v>
      </c>
      <c r="C7" s="317"/>
      <c r="D7" s="417" t="s">
        <v>255</v>
      </c>
      <c r="E7" s="418"/>
      <c r="F7" s="418"/>
      <c r="G7" s="418"/>
      <c r="H7" s="419"/>
      <c r="K7" s="64" t="s">
        <v>261</v>
      </c>
      <c r="L7" s="197"/>
    </row>
    <row r="8" spans="1:12" ht="13.35" customHeight="1" x14ac:dyDescent="0.2">
      <c r="B8" s="354" t="s">
        <v>12</v>
      </c>
      <c r="C8" s="355"/>
      <c r="D8" s="417" t="s">
        <v>40</v>
      </c>
      <c r="E8" s="418"/>
      <c r="F8" s="418"/>
      <c r="G8" s="418"/>
      <c r="H8" s="419"/>
      <c r="K8" s="64" t="s">
        <v>263</v>
      </c>
      <c r="L8" s="197"/>
    </row>
    <row r="9" spans="1:12" ht="13.35" customHeight="1" x14ac:dyDescent="0.2">
      <c r="B9" s="354" t="s">
        <v>183</v>
      </c>
      <c r="C9" s="355"/>
      <c r="D9" s="417" t="s">
        <v>362</v>
      </c>
      <c r="E9" s="418"/>
      <c r="F9" s="418"/>
      <c r="G9" s="418"/>
      <c r="H9" s="419"/>
      <c r="K9" s="64" t="s">
        <v>198</v>
      </c>
      <c r="L9" s="197"/>
    </row>
    <row r="10" spans="1:12" ht="12.75" customHeight="1" x14ac:dyDescent="0.2">
      <c r="B10" s="354" t="s">
        <v>184</v>
      </c>
      <c r="C10" s="355"/>
      <c r="D10" s="417" t="s">
        <v>256</v>
      </c>
      <c r="E10" s="418"/>
      <c r="F10" s="418"/>
      <c r="G10" s="418"/>
      <c r="H10" s="419"/>
      <c r="K10" s="64" t="s">
        <v>159</v>
      </c>
      <c r="L10" s="197"/>
    </row>
    <row r="11" spans="1:12" ht="13.35" customHeight="1" x14ac:dyDescent="0.2">
      <c r="B11" s="354" t="s">
        <v>61</v>
      </c>
      <c r="C11" s="355"/>
      <c r="D11" s="417" t="s">
        <v>284</v>
      </c>
      <c r="E11" s="418"/>
      <c r="F11" s="418"/>
      <c r="G11" s="418"/>
      <c r="H11" s="419"/>
      <c r="L11" s="197"/>
    </row>
    <row r="12" spans="1:12" ht="12.75" customHeight="1" x14ac:dyDescent="0.2">
      <c r="B12" s="354" t="s">
        <v>314</v>
      </c>
      <c r="C12" s="355"/>
      <c r="D12" s="417" t="s">
        <v>257</v>
      </c>
      <c r="E12" s="418"/>
      <c r="F12" s="418"/>
      <c r="G12" s="418"/>
      <c r="H12" s="419"/>
      <c r="L12" s="197"/>
    </row>
    <row r="13" spans="1:12" ht="26.1" customHeight="1" x14ac:dyDescent="0.2">
      <c r="B13" s="361" t="s">
        <v>136</v>
      </c>
      <c r="C13" s="362"/>
      <c r="D13" s="420"/>
      <c r="E13" s="421"/>
      <c r="F13" s="421"/>
      <c r="G13" s="421"/>
      <c r="H13" s="422"/>
      <c r="L13" s="197"/>
    </row>
    <row r="14" spans="1:12" ht="15.75" x14ac:dyDescent="0.2">
      <c r="B14" s="423" t="s">
        <v>271</v>
      </c>
      <c r="C14" s="423"/>
      <c r="D14" s="423"/>
      <c r="E14" s="423"/>
      <c r="F14" s="423"/>
      <c r="G14" s="423"/>
      <c r="H14" s="423"/>
    </row>
    <row r="15" spans="1:12" x14ac:dyDescent="0.2">
      <c r="A15" s="134"/>
      <c r="B15" s="182"/>
      <c r="C15" s="183"/>
      <c r="D15" s="200"/>
      <c r="E15" s="187"/>
      <c r="F15" s="187"/>
      <c r="G15" s="187"/>
      <c r="H15" s="188"/>
    </row>
    <row r="16" spans="1:12" x14ac:dyDescent="0.2">
      <c r="A16" s="134"/>
      <c r="B16" s="182"/>
      <c r="C16" s="183" t="s">
        <v>241</v>
      </c>
      <c r="D16" s="184"/>
      <c r="E16" s="229" t="str">
        <f xml:space="preserve"> vbaIsError(ResUp(, E32))</f>
        <v/>
      </c>
      <c r="F16" s="186"/>
      <c r="G16" s="186"/>
      <c r="H16" s="206"/>
      <c r="K16" s="64">
        <v>20.00564</v>
      </c>
    </row>
    <row r="17" spans="1:12" x14ac:dyDescent="0.2">
      <c r="A17" s="134"/>
      <c r="B17" s="182"/>
      <c r="C17" s="183" t="s">
        <v>242</v>
      </c>
      <c r="D17" s="184"/>
      <c r="E17" s="229">
        <f xml:space="preserve"> vbaIsError(ResDwn(30, E32))</f>
        <v>30</v>
      </c>
      <c r="F17" s="186"/>
      <c r="G17" s="186"/>
      <c r="H17" s="206"/>
      <c r="K17" s="64">
        <v>19.99436</v>
      </c>
    </row>
    <row r="18" spans="1:12" x14ac:dyDescent="0.2">
      <c r="A18" s="134"/>
      <c r="B18" s="182"/>
      <c r="C18" s="183"/>
      <c r="D18" s="184"/>
      <c r="E18" s="207"/>
      <c r="F18" s="208"/>
      <c r="G18" s="208"/>
      <c r="H18" s="209"/>
    </row>
    <row r="19" spans="1:12" x14ac:dyDescent="0.2">
      <c r="A19" s="134"/>
      <c r="B19" s="182"/>
      <c r="C19" s="183" t="s">
        <v>313</v>
      </c>
      <c r="D19" s="200"/>
      <c r="E19" s="229">
        <v>1.6973786011142573</v>
      </c>
      <c r="F19" s="210"/>
      <c r="G19" s="210"/>
      <c r="H19" s="211"/>
      <c r="K19" s="64">
        <v>0.86600949036441699</v>
      </c>
      <c r="L19" s="222" t="s">
        <v>286</v>
      </c>
    </row>
    <row r="20" spans="1:12" x14ac:dyDescent="0.2">
      <c r="A20" s="134"/>
      <c r="B20" s="182"/>
      <c r="C20" s="183" t="s">
        <v>0</v>
      </c>
      <c r="D20" s="200"/>
      <c r="E20" s="223">
        <v>0.95</v>
      </c>
      <c r="F20" s="212"/>
      <c r="G20" s="210"/>
      <c r="H20" s="211"/>
      <c r="K20" s="64">
        <v>30</v>
      </c>
      <c r="L20" s="222" t="s">
        <v>266</v>
      </c>
    </row>
    <row r="21" spans="1:12" x14ac:dyDescent="0.2">
      <c r="A21" s="134"/>
      <c r="B21" s="182"/>
      <c r="C21" s="183"/>
      <c r="D21" s="184"/>
      <c r="E21" s="185"/>
      <c r="F21" s="185"/>
      <c r="G21" s="212"/>
      <c r="H21" s="213"/>
    </row>
    <row r="22" spans="1:12" x14ac:dyDescent="0.2">
      <c r="A22" s="134"/>
      <c r="B22" s="182"/>
      <c r="C22" s="183" t="s">
        <v>279</v>
      </c>
      <c r="D22" s="184"/>
      <c r="E22" s="203">
        <f xml:space="preserve"> vbaIsZero(CalcTUR(K20,E30,E17, E16,E19))</f>
        <v>0.58914375339923708</v>
      </c>
      <c r="F22" s="208"/>
      <c r="G22" s="186"/>
      <c r="H22" s="206"/>
    </row>
    <row r="23" spans="1:12" x14ac:dyDescent="0.2">
      <c r="A23" s="134"/>
      <c r="B23" s="182"/>
      <c r="C23" s="183"/>
      <c r="D23" s="184"/>
      <c r="E23" s="189"/>
      <c r="F23" s="185"/>
      <c r="G23" s="187"/>
      <c r="H23" s="188"/>
    </row>
    <row r="24" spans="1:12" x14ac:dyDescent="0.2">
      <c r="A24" s="134"/>
      <c r="B24" s="182"/>
      <c r="C24" s="183" t="s">
        <v>245</v>
      </c>
      <c r="D24" s="184"/>
      <c r="E24" s="214">
        <v>0.02</v>
      </c>
      <c r="F24" s="185"/>
      <c r="G24" s="186"/>
      <c r="H24" s="206"/>
    </row>
    <row r="25" spans="1:12" x14ac:dyDescent="0.2">
      <c r="A25" s="134"/>
      <c r="B25" s="182"/>
      <c r="C25" s="183" t="s">
        <v>276</v>
      </c>
      <c r="D25" s="184"/>
      <c r="E25" s="214">
        <v>0.85</v>
      </c>
      <c r="F25" s="185"/>
      <c r="G25" s="186"/>
      <c r="H25" s="206"/>
    </row>
    <row r="26" spans="1:12" x14ac:dyDescent="0.2">
      <c r="A26" s="134"/>
      <c r="B26" s="182"/>
      <c r="C26" s="183"/>
      <c r="D26" s="184"/>
      <c r="E26" s="224"/>
      <c r="F26" s="185"/>
      <c r="G26" s="185"/>
      <c r="H26" s="215"/>
    </row>
    <row r="27" spans="1:12" x14ac:dyDescent="0.2">
      <c r="A27" s="134"/>
      <c r="B27" s="182"/>
      <c r="C27" s="183" t="s">
        <v>272</v>
      </c>
      <c r="D27" s="184"/>
      <c r="E27" s="216">
        <v>0.85</v>
      </c>
      <c r="F27" s="212"/>
      <c r="G27" s="212"/>
      <c r="H27" s="213"/>
    </row>
    <row r="28" spans="1:12" hidden="1" x14ac:dyDescent="0.2">
      <c r="A28" s="134"/>
      <c r="B28" s="182"/>
      <c r="C28" s="183" t="s">
        <v>288</v>
      </c>
      <c r="D28" s="184"/>
      <c r="E28" s="225"/>
      <c r="F28" s="185"/>
      <c r="G28" s="218"/>
      <c r="H28" s="206"/>
    </row>
    <row r="29" spans="1:12" x14ac:dyDescent="0.2">
      <c r="A29" s="134"/>
      <c r="B29" s="182"/>
      <c r="C29" s="183" t="s">
        <v>267</v>
      </c>
      <c r="D29" s="184"/>
      <c r="E29" s="199">
        <v>24</v>
      </c>
      <c r="F29" s="185"/>
      <c r="G29" s="218"/>
      <c r="H29" s="206"/>
      <c r="K29" s="226"/>
    </row>
    <row r="30" spans="1:12" x14ac:dyDescent="0.2">
      <c r="A30" s="134"/>
      <c r="B30" s="182"/>
      <c r="C30" s="183" t="s">
        <v>280</v>
      </c>
      <c r="D30" s="184"/>
      <c r="E30" s="140">
        <v>31</v>
      </c>
      <c r="F30" s="212"/>
      <c r="G30" s="212"/>
      <c r="H30" s="213"/>
    </row>
    <row r="31" spans="1:12" x14ac:dyDescent="0.2">
      <c r="A31" s="134"/>
      <c r="B31" s="182"/>
      <c r="C31" s="183"/>
      <c r="D31" s="184"/>
      <c r="E31" s="219"/>
      <c r="F31" s="185"/>
      <c r="G31" s="185"/>
      <c r="H31" s="220"/>
    </row>
    <row r="32" spans="1:12" x14ac:dyDescent="0.2">
      <c r="A32" s="134"/>
      <c r="B32" s="182"/>
      <c r="C32" s="183" t="s">
        <v>304</v>
      </c>
      <c r="D32" s="184"/>
      <c r="E32" s="229">
        <v>1E-4</v>
      </c>
      <c r="F32" s="212"/>
      <c r="G32" s="212"/>
      <c r="H32" s="213"/>
    </row>
    <row r="33" spans="1:11" x14ac:dyDescent="0.2">
      <c r="A33" s="134"/>
      <c r="B33" s="182"/>
      <c r="C33" s="183"/>
      <c r="D33" s="184"/>
      <c r="E33" s="219"/>
      <c r="F33" s="185"/>
      <c r="G33" s="185"/>
      <c r="H33" s="220"/>
    </row>
    <row r="34" spans="1:11" ht="15.6" customHeight="1" x14ac:dyDescent="0.2">
      <c r="B34" s="433" t="s">
        <v>270</v>
      </c>
      <c r="C34" s="434"/>
      <c r="D34" s="434"/>
      <c r="E34" s="434"/>
      <c r="F34" s="434"/>
      <c r="G34" s="434"/>
      <c r="H34" s="435"/>
    </row>
    <row r="35" spans="1:11" x14ac:dyDescent="0.2">
      <c r="A35" s="134"/>
      <c r="B35" s="182"/>
      <c r="C35" s="183"/>
      <c r="D35" s="200"/>
      <c r="E35" s="187"/>
      <c r="F35" s="187"/>
      <c r="G35" s="187"/>
      <c r="H35" s="188"/>
    </row>
    <row r="36" spans="1:11" x14ac:dyDescent="0.2">
      <c r="A36" s="134"/>
      <c r="B36" s="182"/>
      <c r="C36" s="173" t="s">
        <v>289</v>
      </c>
      <c r="D36" s="184"/>
      <c r="E36" s="205">
        <f xml:space="preserve"> vbaIsError(PFAmgr(K20, E30, E17, E16, K19, E27, E22, E22 ))</f>
        <v>4.078646852246938E-3</v>
      </c>
      <c r="F36" s="185"/>
      <c r="G36" s="208"/>
      <c r="H36" s="209"/>
      <c r="K36" s="227"/>
    </row>
    <row r="37" spans="1:11" x14ac:dyDescent="0.2">
      <c r="A37" s="134"/>
      <c r="B37" s="182"/>
      <c r="C37" s="173" t="s">
        <v>290</v>
      </c>
      <c r="D37" s="184"/>
      <c r="E37" s="205">
        <f xml:space="preserve"> vbaIsError(PFRmgr(K20, E30, E17, E16, K19, E27, E22, E22 ))</f>
        <v>0.14471148098057862</v>
      </c>
      <c r="F37" s="185"/>
      <c r="G37" s="185"/>
      <c r="H37" s="220"/>
    </row>
    <row r="38" spans="1:11" x14ac:dyDescent="0.2">
      <c r="A38" s="134"/>
      <c r="B38" s="182"/>
      <c r="C38" s="183" t="s">
        <v>244</v>
      </c>
      <c r="D38" s="184"/>
      <c r="E38" s="205">
        <f xml:space="preserve"> vbaIsError(E36+E37)</f>
        <v>0.14879012783282555</v>
      </c>
      <c r="F38" s="185"/>
      <c r="G38" s="185"/>
      <c r="H38" s="220"/>
    </row>
    <row r="39" spans="1:11" x14ac:dyDescent="0.2">
      <c r="A39" s="134"/>
      <c r="B39" s="182"/>
      <c r="C39" s="183"/>
      <c r="D39" s="184"/>
      <c r="E39" s="184"/>
      <c r="F39" s="185"/>
      <c r="G39" s="185"/>
      <c r="H39" s="215"/>
    </row>
    <row r="40" spans="1:11" ht="15.75" hidden="1" x14ac:dyDescent="0.2">
      <c r="B40" s="423" t="s">
        <v>291</v>
      </c>
      <c r="C40" s="423"/>
      <c r="D40" s="423"/>
      <c r="E40" s="423"/>
      <c r="F40" s="423"/>
      <c r="G40" s="423"/>
      <c r="H40" s="423"/>
    </row>
    <row r="41" spans="1:11" hidden="1" x14ac:dyDescent="0.2">
      <c r="A41" s="134"/>
      <c r="B41" s="182"/>
      <c r="C41" s="183"/>
      <c r="D41" s="200"/>
      <c r="E41" s="187"/>
      <c r="F41" s="187"/>
      <c r="G41" s="187"/>
      <c r="H41" s="188"/>
    </row>
    <row r="42" spans="1:11" hidden="1" x14ac:dyDescent="0.2">
      <c r="A42" s="134"/>
      <c r="B42" s="182"/>
      <c r="C42" s="183" t="s">
        <v>292</v>
      </c>
      <c r="D42" s="184"/>
      <c r="E42" s="205" t="e">
        <f xml:space="preserve"> CalRelMgr(K20,E30,E17,E16,K19,E27,E22,E28,E29,E29)</f>
        <v>#VALUE!</v>
      </c>
      <c r="F42" s="186"/>
      <c r="G42" s="187"/>
      <c r="H42" s="188"/>
    </row>
    <row r="43" spans="1:11" hidden="1" x14ac:dyDescent="0.2">
      <c r="A43" s="134"/>
      <c r="B43" s="182"/>
      <c r="C43" s="183"/>
      <c r="D43" s="184"/>
      <c r="E43" s="189"/>
      <c r="F43" s="185"/>
      <c r="G43" s="187"/>
      <c r="H43" s="188"/>
    </row>
    <row r="44" spans="1:11" hidden="1" x14ac:dyDescent="0.2">
      <c r="A44" s="134"/>
      <c r="B44" s="182"/>
      <c r="C44" s="173" t="s">
        <v>293</v>
      </c>
      <c r="D44" s="184"/>
      <c r="E44" s="205" t="str">
        <f xml:space="preserve"> vbaIsError(PFAmgr(K20, E30, E17, E16, K19, E42 ))</f>
        <v/>
      </c>
      <c r="F44" s="185"/>
      <c r="G44" s="208"/>
      <c r="H44" s="209"/>
      <c r="K44" s="227"/>
    </row>
    <row r="45" spans="1:11" hidden="1" x14ac:dyDescent="0.2">
      <c r="A45" s="134"/>
      <c r="B45" s="182"/>
      <c r="C45" s="173" t="s">
        <v>294</v>
      </c>
      <c r="D45" s="184"/>
      <c r="E45" s="205" t="str">
        <f xml:space="preserve"> vbaIsError(PFRmgr(K20, E30, E17, E16, K19, E42 ))</f>
        <v/>
      </c>
      <c r="F45" s="185"/>
      <c r="G45" s="185"/>
      <c r="H45" s="220"/>
    </row>
    <row r="46" spans="1:11" hidden="1" x14ac:dyDescent="0.2">
      <c r="A46" s="134"/>
      <c r="B46" s="182"/>
      <c r="C46" s="183" t="s">
        <v>244</v>
      </c>
      <c r="D46" s="184"/>
      <c r="E46" s="205" t="str">
        <f xml:space="preserve"> vbaIsError(E44+E45)</f>
        <v/>
      </c>
      <c r="F46" s="185"/>
      <c r="G46" s="185"/>
      <c r="H46" s="220"/>
    </row>
    <row r="47" spans="1:11" hidden="1" x14ac:dyDescent="0.2">
      <c r="A47" s="134"/>
      <c r="B47" s="182"/>
      <c r="C47" s="183"/>
      <c r="D47" s="184"/>
      <c r="E47" s="184"/>
      <c r="F47" s="185"/>
      <c r="G47" s="185"/>
      <c r="H47" s="215"/>
    </row>
    <row r="48" spans="1:11" ht="15.75" x14ac:dyDescent="0.2">
      <c r="B48" s="433" t="s">
        <v>277</v>
      </c>
      <c r="C48" s="434"/>
      <c r="D48" s="434"/>
      <c r="E48" s="434"/>
      <c r="F48" s="434"/>
      <c r="G48" s="434"/>
      <c r="H48" s="435"/>
    </row>
    <row r="49" spans="1:8" x14ac:dyDescent="0.2">
      <c r="A49" s="134"/>
      <c r="B49" s="182"/>
      <c r="C49" s="183"/>
      <c r="D49" s="184"/>
      <c r="E49" s="185"/>
      <c r="F49" s="185"/>
      <c r="G49" s="186"/>
      <c r="H49" s="206"/>
    </row>
    <row r="50" spans="1:8" x14ac:dyDescent="0.2">
      <c r="A50" s="134"/>
      <c r="B50" s="182"/>
      <c r="C50" s="183" t="s">
        <v>247</v>
      </c>
      <c r="D50" s="184"/>
      <c r="E50" s="230" t="str">
        <f xml:space="preserve"> vbaIsError(ResUp(GBUpMgr(E24, K20, E30, E17, E16, K19, E25 ), E32))</f>
        <v/>
      </c>
      <c r="F50" s="186"/>
      <c r="G50" s="187"/>
      <c r="H50" s="188"/>
    </row>
    <row r="51" spans="1:8" x14ac:dyDescent="0.2">
      <c r="A51" s="134"/>
      <c r="B51" s="182"/>
      <c r="C51" s="183" t="s">
        <v>248</v>
      </c>
      <c r="D51" s="184"/>
      <c r="E51" s="230">
        <f xml:space="preserve"> vbaIsError(ResDwn(GBLowMgr(E24, K20, E30, E17, E16, K19, E25 ), E32))</f>
        <v>30</v>
      </c>
      <c r="F51" s="186"/>
      <c r="G51" s="187"/>
      <c r="H51" s="188"/>
    </row>
    <row r="52" spans="1:8" x14ac:dyDescent="0.2">
      <c r="A52" s="134"/>
      <c r="B52" s="182"/>
      <c r="C52" s="183" t="s">
        <v>249</v>
      </c>
      <c r="D52" s="184"/>
      <c r="E52" s="205">
        <f xml:space="preserve"> vbaIsError(GBMultmgr(E24, K20, E30, E17, E16, E51, E50))</f>
        <v>1</v>
      </c>
      <c r="F52" s="185"/>
      <c r="G52" s="187"/>
      <c r="H52" s="188"/>
    </row>
    <row r="53" spans="1:8" x14ac:dyDescent="0.2">
      <c r="A53" s="134"/>
      <c r="B53" s="182"/>
      <c r="C53" s="183"/>
      <c r="D53" s="184"/>
      <c r="E53" s="189"/>
      <c r="F53" s="185"/>
      <c r="G53" s="187"/>
      <c r="H53" s="188"/>
    </row>
    <row r="54" spans="1:8" x14ac:dyDescent="0.2">
      <c r="A54" s="134"/>
      <c r="B54" s="182"/>
      <c r="C54" s="173" t="s">
        <v>253</v>
      </c>
      <c r="D54" s="184"/>
      <c r="E54" s="205">
        <f xml:space="preserve"> vbaIsError(PFAWGBmgr(K20, E30, E17, E16, K19, E25, E51, E50 ))</f>
        <v>4.078646852246938E-3</v>
      </c>
      <c r="F54" s="185"/>
      <c r="G54" s="185"/>
      <c r="H54" s="220"/>
    </row>
    <row r="55" spans="1:8" x14ac:dyDescent="0.2">
      <c r="A55" s="134"/>
      <c r="B55" s="182"/>
      <c r="C55" s="173" t="s">
        <v>254</v>
      </c>
      <c r="D55" s="184"/>
      <c r="E55" s="205">
        <f xml:space="preserve"> vbaIsError(PFRWGBmgr(K20, E30, E17, E16, K19, E25, E51, E50 ))</f>
        <v>0.14471148098057862</v>
      </c>
      <c r="F55" s="185"/>
      <c r="G55" s="185"/>
      <c r="H55" s="220"/>
    </row>
    <row r="56" spans="1:8" x14ac:dyDescent="0.2">
      <c r="A56" s="134"/>
      <c r="B56" s="182"/>
      <c r="C56" s="183" t="s">
        <v>246</v>
      </c>
      <c r="D56" s="184"/>
      <c r="E56" s="205">
        <f xml:space="preserve"> vbaIsError(E54+E55)</f>
        <v>0.14879012783282555</v>
      </c>
      <c r="F56" s="185"/>
      <c r="G56" s="208"/>
      <c r="H56" s="209"/>
    </row>
    <row r="57" spans="1:8" x14ac:dyDescent="0.2">
      <c r="A57" s="134"/>
      <c r="B57" s="182"/>
      <c r="C57" s="183"/>
      <c r="D57" s="184"/>
      <c r="E57" s="221"/>
      <c r="F57" s="186"/>
      <c r="G57" s="187"/>
      <c r="H57" s="188"/>
    </row>
    <row r="58" spans="1:8" x14ac:dyDescent="0.2">
      <c r="A58" s="134"/>
      <c r="B58" s="182"/>
      <c r="C58" s="201" t="s">
        <v>281</v>
      </c>
      <c r="D58" s="184"/>
      <c r="E58" s="189"/>
      <c r="F58" s="185"/>
      <c r="G58" s="187"/>
      <c r="H58" s="188"/>
    </row>
    <row r="59" spans="1:8" x14ac:dyDescent="0.2">
      <c r="A59" s="134"/>
      <c r="B59" s="182"/>
      <c r="C59" s="202" t="s">
        <v>273</v>
      </c>
      <c r="D59" s="184"/>
      <c r="E59" s="203">
        <f xml:space="preserve"> vbaIsError(CalIntwGBMgr(K20,E30,E17,E16,K19,E25,E27,E51,E50,E22,E28,E29))</f>
        <v>24</v>
      </c>
      <c r="F59" s="186"/>
      <c r="G59" s="187"/>
      <c r="H59" s="188"/>
    </row>
    <row r="60" spans="1:8" x14ac:dyDescent="0.2">
      <c r="A60" s="134"/>
      <c r="B60" s="182"/>
      <c r="C60" s="204" t="s">
        <v>274</v>
      </c>
      <c r="D60" s="184"/>
      <c r="E60" s="205">
        <f xml:space="preserve"> vbaIsError(CalRelwGBMgr(K20,E30,E17,E16,K19,E25,E27,E51,E50,E22,E28,E29))</f>
        <v>0.85</v>
      </c>
      <c r="F60" s="186"/>
      <c r="G60" s="187"/>
      <c r="H60" s="188"/>
    </row>
    <row r="61" spans="1:8" x14ac:dyDescent="0.2">
      <c r="A61" s="134"/>
      <c r="B61" s="190"/>
      <c r="C61" s="191"/>
      <c r="D61" s="192"/>
      <c r="E61" s="193"/>
      <c r="F61" s="193"/>
      <c r="G61" s="193"/>
      <c r="H61" s="194"/>
    </row>
    <row r="62" spans="1:8" ht="15.75" x14ac:dyDescent="0.2">
      <c r="B62" s="433" t="s">
        <v>295</v>
      </c>
      <c r="C62" s="434"/>
      <c r="D62" s="434"/>
      <c r="E62" s="434"/>
      <c r="F62" s="434"/>
      <c r="G62" s="434"/>
      <c r="H62" s="435"/>
    </row>
    <row r="63" spans="1:8" x14ac:dyDescent="0.2">
      <c r="A63" s="134"/>
      <c r="B63" s="182"/>
      <c r="C63" s="183"/>
      <c r="D63" s="184"/>
      <c r="E63" s="185"/>
      <c r="F63" s="185"/>
      <c r="G63" s="186"/>
      <c r="H63" s="206"/>
    </row>
    <row r="64" spans="1:8" x14ac:dyDescent="0.2">
      <c r="A64" s="134"/>
      <c r="B64" s="182"/>
      <c r="C64" s="201" t="s">
        <v>296</v>
      </c>
      <c r="D64" s="184"/>
      <c r="E64" s="189"/>
      <c r="F64" s="185"/>
      <c r="G64" s="187"/>
      <c r="H64" s="188"/>
    </row>
    <row r="65" spans="1:8" x14ac:dyDescent="0.2">
      <c r="A65" s="134"/>
      <c r="B65" s="182"/>
      <c r="C65" s="202" t="s">
        <v>297</v>
      </c>
      <c r="D65" s="184"/>
      <c r="E65" s="203">
        <f xml:space="preserve"> vbaIsError(CalIntMgr(K20,E30,E17,E16,K19,E25,E27,E22,E28,E29,E24))</f>
        <v>24</v>
      </c>
      <c r="F65" s="186"/>
      <c r="G65" s="187"/>
      <c r="H65" s="188"/>
    </row>
    <row r="66" spans="1:8" x14ac:dyDescent="0.2">
      <c r="A66" s="134"/>
      <c r="B66" s="182"/>
      <c r="C66" s="201" t="s">
        <v>298</v>
      </c>
      <c r="D66" s="184"/>
      <c r="E66" s="208"/>
      <c r="F66" s="208"/>
      <c r="G66" s="187"/>
      <c r="H66" s="188"/>
    </row>
    <row r="67" spans="1:8" x14ac:dyDescent="0.2">
      <c r="A67" s="134"/>
      <c r="B67" s="182"/>
      <c r="C67" s="202" t="s">
        <v>297</v>
      </c>
      <c r="D67" s="184"/>
      <c r="E67" s="205">
        <f xml:space="preserve"> vbaIsError(CalRelMgr(K20,E30,E17,E16,K19,E25,E27,E22,E28,E29,E24))</f>
        <v>0.85</v>
      </c>
      <c r="F67" s="186"/>
      <c r="G67" s="187"/>
      <c r="H67" s="188"/>
    </row>
    <row r="68" spans="1:8" x14ac:dyDescent="0.2">
      <c r="A68" s="134"/>
      <c r="B68" s="182"/>
      <c r="C68" s="183"/>
      <c r="D68" s="184"/>
      <c r="E68" s="189"/>
      <c r="F68" s="185"/>
      <c r="G68" s="187"/>
      <c r="H68" s="188"/>
    </row>
    <row r="69" spans="1:8" x14ac:dyDescent="0.2">
      <c r="A69" s="134"/>
      <c r="B69" s="182"/>
      <c r="C69" s="173" t="s">
        <v>299</v>
      </c>
      <c r="D69" s="184"/>
      <c r="E69" s="205">
        <f xml:space="preserve"> vbaIsError(PFAmgr(K20, E30, E17, E16, K19, E67, E22, E22 ))</f>
        <v>4.078646852246938E-3</v>
      </c>
      <c r="F69" s="185"/>
      <c r="G69" s="185"/>
      <c r="H69" s="220"/>
    </row>
    <row r="70" spans="1:8" x14ac:dyDescent="0.2">
      <c r="A70" s="134"/>
      <c r="B70" s="182"/>
      <c r="C70" s="173" t="s">
        <v>300</v>
      </c>
      <c r="D70" s="184"/>
      <c r="E70" s="205">
        <f xml:space="preserve"> vbaIsError(PFRmgr(K20, E30, E17, E16, K19, E67, E22, E22 ))</f>
        <v>0.14471148098057862</v>
      </c>
      <c r="F70" s="185"/>
      <c r="G70" s="185"/>
      <c r="H70" s="220"/>
    </row>
    <row r="71" spans="1:8" x14ac:dyDescent="0.2">
      <c r="A71" s="134"/>
      <c r="B71" s="182"/>
      <c r="C71" s="183" t="s">
        <v>301</v>
      </c>
      <c r="D71" s="184"/>
      <c r="E71" s="205">
        <f xml:space="preserve"> vbaIsError(E69+E70)</f>
        <v>0.14879012783282555</v>
      </c>
      <c r="F71" s="185"/>
      <c r="G71" s="208"/>
      <c r="H71" s="209"/>
    </row>
    <row r="72" spans="1:8" x14ac:dyDescent="0.2">
      <c r="A72" s="134"/>
      <c r="B72" s="190"/>
      <c r="C72" s="191"/>
      <c r="D72" s="192"/>
      <c r="E72" s="193"/>
      <c r="F72" s="193"/>
      <c r="G72" s="193"/>
      <c r="H72" s="194"/>
    </row>
    <row r="73" spans="1:8" x14ac:dyDescent="0.2">
      <c r="A73" s="134"/>
      <c r="B73" s="134"/>
      <c r="C73" s="135"/>
      <c r="D73" s="134"/>
      <c r="E73" s="134"/>
      <c r="F73" s="134"/>
      <c r="G73" s="134"/>
      <c r="H73" s="134"/>
    </row>
  </sheetData>
  <sheetProtection formatCells="0" formatColumns="0" formatRows="0" sort="0" autoFilter="0"/>
  <mergeCells count="30">
    <mergeCell ref="B14:H14"/>
    <mergeCell ref="B34:H34"/>
    <mergeCell ref="B40:H40"/>
    <mergeCell ref="B48:H48"/>
    <mergeCell ref="B62:H62"/>
    <mergeCell ref="B4:C4"/>
    <mergeCell ref="D4:H4"/>
    <mergeCell ref="B5:C5"/>
    <mergeCell ref="D5:H5"/>
    <mergeCell ref="B6:C6"/>
    <mergeCell ref="D6:H6"/>
    <mergeCell ref="B1:H1"/>
    <mergeCell ref="B2:C2"/>
    <mergeCell ref="D2:H2"/>
    <mergeCell ref="B3:C3"/>
    <mergeCell ref="D3:H3"/>
    <mergeCell ref="B7:C7"/>
    <mergeCell ref="D7:H7"/>
    <mergeCell ref="B8:C8"/>
    <mergeCell ref="D8:H8"/>
    <mergeCell ref="B12:C12"/>
    <mergeCell ref="D12:H12"/>
    <mergeCell ref="B13:C13"/>
    <mergeCell ref="D13:H13"/>
    <mergeCell ref="B9:C9"/>
    <mergeCell ref="D9:H9"/>
    <mergeCell ref="B10:C10"/>
    <mergeCell ref="D10:H10"/>
    <mergeCell ref="B11:C11"/>
    <mergeCell ref="D11:H11"/>
  </mergeCells>
  <pageMargins left="1" right="0.7" top="0.75" bottom="0.5" header="0.3" footer="0.3"/>
  <pageSetup scale="8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7413" r:id="rId4" name="btnUncReturn">
              <controlPr defaultSize="0" print="0" autoFill="0" autoPict="0" macro="[0]!RiskReport.btnGBReturn_click">
                <anchor>
                  <from>
                    <xdr:col>0</xdr:col>
                    <xdr:colOff>114300</xdr:colOff>
                    <xdr:row>0</xdr:row>
                    <xdr:rowOff>104775</xdr:rowOff>
                  </from>
                  <to>
                    <xdr:col>0</xdr:col>
                    <xdr:colOff>1114425</xdr:colOff>
                    <xdr:row>0</xdr:row>
                    <xdr:rowOff>485775</xdr:rowOff>
                  </to>
                </anchor>
              </controlPr>
            </control>
          </mc:Choice>
        </mc:AlternateContent>
        <mc:AlternateContent xmlns:mc="http://schemas.openxmlformats.org/markup-compatibility/2006">
          <mc:Choice Requires="x14">
            <control shapeId="357414" r:id="rId5" name="btnCancel">
              <controlPr defaultSize="0" print="0" autoFill="0" autoPict="0" macro="[0]!RiskReport.btnGBCancel_click">
                <anchor>
                  <from>
                    <xdr:col>0</xdr:col>
                    <xdr:colOff>114300</xdr:colOff>
                    <xdr:row>0</xdr:row>
                    <xdr:rowOff>495300</xdr:rowOff>
                  </from>
                  <to>
                    <xdr:col>0</xdr:col>
                    <xdr:colOff>1114425</xdr:colOff>
                    <xdr:row>1</xdr:row>
                    <xdr:rowOff>304800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olLimit">
    <pageSetUpPr fitToPage="1"/>
  </sheetPr>
  <dimension ref="B1:T20"/>
  <sheetViews>
    <sheetView showGridLines="0" zoomScale="90" zoomScaleNormal="90" workbookViewId="0">
      <selection activeCell="C9" sqref="C9"/>
    </sheetView>
  </sheetViews>
  <sheetFormatPr defaultColWidth="8.85546875" defaultRowHeight="12.75" x14ac:dyDescent="0.2"/>
  <cols>
    <col min="1" max="1" width="18.42578125" style="40" customWidth="1"/>
    <col min="2" max="2" width="12.5703125" style="40" customWidth="1"/>
    <col min="3" max="3" width="13.5703125" style="39" customWidth="1"/>
    <col min="4" max="4" width="14.5703125" style="39" customWidth="1"/>
    <col min="5" max="5" width="13.42578125" style="39" customWidth="1"/>
    <col min="6" max="6" width="9.140625" customWidth="1"/>
    <col min="7" max="10" width="13.85546875" style="39" customWidth="1"/>
    <col min="11" max="11" width="13.42578125" style="39" customWidth="1"/>
    <col min="12" max="12" width="12.140625" style="39" hidden="1" customWidth="1"/>
    <col min="13" max="13" width="12.42578125" style="39" hidden="1" customWidth="1"/>
    <col min="14" max="14" width="14.42578125" style="39" hidden="1" customWidth="1"/>
    <col min="15" max="15" width="12.5703125" style="39" hidden="1" customWidth="1"/>
    <col min="16" max="16" width="18.140625" style="40" hidden="1" customWidth="1"/>
    <col min="17" max="17" width="13.140625" style="40" hidden="1" customWidth="1"/>
    <col min="18" max="20" width="8.85546875" style="40" hidden="1" customWidth="1"/>
    <col min="21" max="16384" width="8.85546875" style="40"/>
  </cols>
  <sheetData>
    <row r="1" spans="2:19" ht="23.25" x14ac:dyDescent="0.35">
      <c r="B1" s="47" t="s">
        <v>191</v>
      </c>
      <c r="C1" s="48"/>
      <c r="D1" s="48"/>
      <c r="E1" s="48"/>
      <c r="G1" s="48"/>
      <c r="H1" s="48"/>
      <c r="I1" s="48"/>
      <c r="J1" s="48"/>
      <c r="K1" s="48"/>
      <c r="L1" s="48"/>
      <c r="M1" s="48"/>
      <c r="N1" s="48"/>
      <c r="O1" s="48"/>
      <c r="P1" s="41" t="s">
        <v>60</v>
      </c>
    </row>
    <row r="2" spans="2:19" ht="13.5" thickBot="1" x14ac:dyDescent="0.25">
      <c r="B2"/>
      <c r="C2" s="48"/>
      <c r="D2" s="48"/>
      <c r="E2"/>
      <c r="G2" s="49" t="s">
        <v>160</v>
      </c>
      <c r="H2" s="48"/>
      <c r="I2" s="48"/>
      <c r="J2" s="48"/>
      <c r="K2" s="92"/>
      <c r="L2" s="93"/>
      <c r="M2" s="93"/>
      <c r="N2" s="93"/>
      <c r="O2" s="93"/>
      <c r="P2" s="42" t="s">
        <v>69</v>
      </c>
      <c r="Q2" s="42" t="s">
        <v>70</v>
      </c>
      <c r="S2" s="40" t="s">
        <v>161</v>
      </c>
    </row>
    <row r="3" spans="2:19" s="43" customFormat="1" ht="47.1" customHeight="1" thickTop="1" x14ac:dyDescent="0.2">
      <c r="B3" s="115" t="s">
        <v>44</v>
      </c>
      <c r="C3" s="52" t="s">
        <v>74</v>
      </c>
      <c r="D3" s="52" t="s">
        <v>188</v>
      </c>
      <c r="E3" s="39"/>
      <c r="F3"/>
      <c r="G3" s="52" t="s">
        <v>128</v>
      </c>
      <c r="H3" s="52" t="s">
        <v>127</v>
      </c>
      <c r="I3" s="52" t="s">
        <v>129</v>
      </c>
      <c r="J3" s="52" t="s">
        <v>130</v>
      </c>
      <c r="K3" s="94"/>
      <c r="L3" s="94"/>
      <c r="M3" s="94"/>
      <c r="N3" s="94"/>
      <c r="O3" s="94"/>
      <c r="P3" s="40" t="s">
        <v>53</v>
      </c>
      <c r="Q3" s="44">
        <v>100</v>
      </c>
      <c r="S3" s="43">
        <v>18</v>
      </c>
    </row>
    <row r="4" spans="2:19" ht="42" customHeight="1" x14ac:dyDescent="0.2">
      <c r="B4" s="53" t="s">
        <v>351</v>
      </c>
      <c r="C4" s="91" t="s">
        <v>350</v>
      </c>
      <c r="D4" s="54">
        <v>25</v>
      </c>
      <c r="G4" s="54">
        <f xml:space="preserve"> vbaIsError(D4 + I4)</f>
        <v>24.99</v>
      </c>
      <c r="H4" s="54">
        <f xml:space="preserve"> vbaIsError(D4 + J4)</f>
        <v>25.01</v>
      </c>
      <c r="I4" s="54">
        <f xml:space="preserve"> vbaIsError( Tolerance($D$4, $B$8, $D$8, $B$12, $C$12, $E$12, $B$16, $D$16, $B$20, $D$20, $E$20, SpecUnits, SpecDivider)  )</f>
        <v>-0.01</v>
      </c>
      <c r="J4" s="54">
        <f xml:space="preserve"> vbaIsError( Tolerance($D$4, $C$8, $D$8, $B$12, $D$12, $E$12, $C$16, $D$16, $C$20, $D$20, $E$20, SpecUnits, SpecDivider)  )</f>
        <v>0.01</v>
      </c>
      <c r="K4" s="95"/>
      <c r="L4" s="96"/>
      <c r="M4" s="97"/>
      <c r="N4" s="98"/>
      <c r="O4" s="96"/>
      <c r="P4" s="40" t="s">
        <v>54</v>
      </c>
      <c r="Q4" s="45">
        <v>1000000</v>
      </c>
      <c r="S4" s="40" t="s">
        <v>366</v>
      </c>
    </row>
    <row r="5" spans="2:19" x14ac:dyDescent="0.2">
      <c r="P5" s="40" t="s">
        <v>55</v>
      </c>
      <c r="Q5" s="46">
        <v>1000000</v>
      </c>
      <c r="S5" s="40" t="s">
        <v>159</v>
      </c>
    </row>
    <row r="6" spans="2:19" x14ac:dyDescent="0.2">
      <c r="B6" s="49" t="s">
        <v>173</v>
      </c>
      <c r="P6" s="40" t="s">
        <v>56</v>
      </c>
      <c r="Q6" s="46">
        <v>1000</v>
      </c>
      <c r="S6" s="40" t="s">
        <v>189</v>
      </c>
    </row>
    <row r="7" spans="2:19" ht="47.1" customHeight="1" x14ac:dyDescent="0.2">
      <c r="B7" s="51" t="s">
        <v>48</v>
      </c>
      <c r="C7" s="51" t="s">
        <v>49</v>
      </c>
      <c r="D7" s="51" t="s">
        <v>47</v>
      </c>
      <c r="P7" s="40" t="s">
        <v>57</v>
      </c>
      <c r="Q7" s="46">
        <v>1000000000</v>
      </c>
    </row>
    <row r="8" spans="2:19" ht="42" customHeight="1" x14ac:dyDescent="0.2">
      <c r="B8" s="53">
        <f xml:space="preserve"> IF(IsNotNumeric($C$8), "", -$C$8)</f>
        <v>-0.04</v>
      </c>
      <c r="C8" s="37">
        <v>0.04</v>
      </c>
      <c r="D8" s="90" t="s">
        <v>53</v>
      </c>
      <c r="P8" s="40" t="s">
        <v>58</v>
      </c>
      <c r="Q8" s="46">
        <v>1000000000000</v>
      </c>
    </row>
    <row r="9" spans="2:19" x14ac:dyDescent="0.2">
      <c r="P9" s="131" t="s">
        <v>59</v>
      </c>
      <c r="Q9" s="46">
        <v>1</v>
      </c>
    </row>
    <row r="10" spans="2:19" x14ac:dyDescent="0.2">
      <c r="B10" s="49" t="s">
        <v>172</v>
      </c>
      <c r="Q10" s="46"/>
    </row>
    <row r="11" spans="2:19" ht="47.1" customHeight="1" x14ac:dyDescent="0.2">
      <c r="B11" s="51" t="s">
        <v>73</v>
      </c>
      <c r="C11" s="51" t="s">
        <v>50</v>
      </c>
      <c r="D11" s="51" t="s">
        <v>51</v>
      </c>
      <c r="E11" s="50" t="s">
        <v>52</v>
      </c>
      <c r="Q11" s="46"/>
      <c r="R11" s="46"/>
    </row>
    <row r="12" spans="2:19" ht="42" customHeight="1" x14ac:dyDescent="0.2">
      <c r="B12" s="35"/>
      <c r="C12" s="53" t="str">
        <f xml:space="preserve"> IF(IsNotNumeric($D$12), "", -$D$12)</f>
        <v/>
      </c>
      <c r="D12" s="35"/>
      <c r="E12" s="90"/>
      <c r="F12" s="39"/>
      <c r="Q12" s="46"/>
      <c r="R12" s="46"/>
    </row>
    <row r="13" spans="2:19" x14ac:dyDescent="0.2">
      <c r="Q13" s="46"/>
    </row>
    <row r="14" spans="2:19" x14ac:dyDescent="0.2">
      <c r="B14" s="49" t="s">
        <v>174</v>
      </c>
      <c r="Q14" s="46"/>
    </row>
    <row r="15" spans="2:19" ht="47.1" customHeight="1" x14ac:dyDescent="0.2">
      <c r="B15" s="51" t="s">
        <v>175</v>
      </c>
      <c r="C15" s="51" t="s">
        <v>176</v>
      </c>
      <c r="D15" s="51" t="s">
        <v>177</v>
      </c>
    </row>
    <row r="16" spans="2:19" ht="42" customHeight="1" x14ac:dyDescent="0.2">
      <c r="B16" s="53" t="str">
        <f xml:space="preserve"> IF(IsNotNumeric($C$16), "", -$C$16)</f>
        <v/>
      </c>
      <c r="C16" s="37"/>
      <c r="D16" s="90"/>
    </row>
    <row r="18" spans="2:10" x14ac:dyDescent="0.2">
      <c r="B18" s="49" t="s">
        <v>196</v>
      </c>
      <c r="C18" s="48"/>
      <c r="D18" s="48"/>
      <c r="E18" s="48"/>
      <c r="G18" s="49" t="s">
        <v>224</v>
      </c>
      <c r="H18" s="48"/>
      <c r="I18" s="48"/>
      <c r="J18" s="48"/>
    </row>
    <row r="19" spans="2:10" ht="47.1" customHeight="1" x14ac:dyDescent="0.2">
      <c r="B19" s="51" t="s">
        <v>193</v>
      </c>
      <c r="C19" s="51" t="s">
        <v>194</v>
      </c>
      <c r="D19" s="51" t="s">
        <v>192</v>
      </c>
      <c r="E19" s="50" t="s">
        <v>195</v>
      </c>
      <c r="G19" s="50" t="s">
        <v>220</v>
      </c>
      <c r="H19" s="52" t="s">
        <v>221</v>
      </c>
      <c r="I19" s="50" t="s">
        <v>222</v>
      </c>
      <c r="J19" s="52" t="s">
        <v>223</v>
      </c>
    </row>
    <row r="20" spans="2:10" ht="42" customHeight="1" x14ac:dyDescent="0.2">
      <c r="B20" s="53" t="str">
        <f xml:space="preserve"> IF(IsNotNumeric($C$20), "", -$C$20)</f>
        <v/>
      </c>
      <c r="C20" s="36"/>
      <c r="D20" s="36"/>
      <c r="E20" s="36"/>
      <c r="G20" s="55"/>
      <c r="H20" s="54" t="str">
        <f xml:space="preserve"> IF(G20 = "", "", vbaIsError(E20*10^(G20/D20)))</f>
        <v/>
      </c>
      <c r="I20" s="55"/>
      <c r="J20" s="54" t="str">
        <f xml:space="preserve"> IF( I20 = "", "", vbaIsError( D20*LOG(I20/E20)))</f>
        <v/>
      </c>
    </row>
  </sheetData>
  <sheetProtection sheet="1" objects="1" scenarios="1" formatCells="0" formatColumns="0" formatRows="0" sort="0" autoFilter="0"/>
  <dataValidations count="2">
    <dataValidation type="list" allowBlank="1" showInputMessage="1" showErrorMessage="1" sqref="N4 D8 E12" xr:uid="{00000000-0002-0000-0C00-000000000000}">
      <formula1 xml:space="preserve"> SpecUnits</formula1>
    </dataValidation>
    <dataValidation type="list" allowBlank="1" showInputMessage="1" showErrorMessage="1" sqref="D16" xr:uid="{00000000-0002-0000-0C00-000001000000}">
      <formula1 xml:space="preserve"> FloorUnits</formula1>
    </dataValidation>
  </dataValidations>
  <pageMargins left="0.7" right="0.7" top="0.75" bottom="0.75" header="0.3" footer="0.3"/>
  <pageSetup scale="89" orientation="landscape" r:id="rId1"/>
  <ignoredErrors>
    <ignoredError sqref="H2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1014" r:id="rId4" name="Button 6">
              <controlPr defaultSize="0" print="0" autoFill="0" autoPict="0" macro="[0]!TolLimit.btnTolReturn_click">
                <anchor>
                  <from>
                    <xdr:col>0</xdr:col>
                    <xdr:colOff>180975</xdr:colOff>
                    <xdr:row>0</xdr:row>
                    <xdr:rowOff>123825</xdr:rowOff>
                  </from>
                  <to>
                    <xdr:col>0</xdr:col>
                    <xdr:colOff>1152525</xdr:colOff>
                    <xdr:row>2</xdr:row>
                    <xdr:rowOff>85725</xdr:rowOff>
                  </to>
                </anchor>
              </controlPr>
            </control>
          </mc:Choice>
        </mc:AlternateContent>
        <mc:AlternateContent xmlns:mc="http://schemas.openxmlformats.org/markup-compatibility/2006">
          <mc:Choice Requires="x14">
            <control shapeId="171016" r:id="rId5" name="btnLowLimit">
              <controlPr locked="0" defaultSize="0" print="0" autoFill="0" autoPict="0" macro="[0]!TolLimit.btnLowLimit_click">
                <anchor>
                  <from>
                    <xdr:col>0</xdr:col>
                    <xdr:colOff>180975</xdr:colOff>
                    <xdr:row>2</xdr:row>
                    <xdr:rowOff>104775</xdr:rowOff>
                  </from>
                  <to>
                    <xdr:col>0</xdr:col>
                    <xdr:colOff>1152525</xdr:colOff>
                    <xdr:row>2</xdr:row>
                    <xdr:rowOff>533400</xdr:rowOff>
                  </to>
                </anchor>
              </controlPr>
            </control>
          </mc:Choice>
        </mc:AlternateContent>
        <mc:AlternateContent xmlns:mc="http://schemas.openxmlformats.org/markup-compatibility/2006">
          <mc:Choice Requires="x14">
            <control shapeId="171017" r:id="rId6" name="Button 9">
              <controlPr defaultSize="0" print="0" autoFill="0" autoPict="0" macro="[0]!TolLimit.btnTolClear_click">
                <anchor>
                  <from>
                    <xdr:col>0</xdr:col>
                    <xdr:colOff>180975</xdr:colOff>
                    <xdr:row>2</xdr:row>
                    <xdr:rowOff>561975</xdr:rowOff>
                  </from>
                  <to>
                    <xdr:col>0</xdr:col>
                    <xdr:colOff>1152525</xdr:colOff>
                    <xdr:row>3</xdr:row>
                    <xdr:rowOff>390525</xdr:rowOff>
                  </to>
                </anchor>
              </controlPr>
            </control>
          </mc:Choice>
        </mc:AlternateContent>
        <mc:AlternateContent xmlns:mc="http://schemas.openxmlformats.org/markup-compatibility/2006">
          <mc:Choice Requires="x14">
            <control shapeId="171018" r:id="rId7" name="Button 10">
              <controlPr defaultSize="0" print="0" autoFill="0" autoPict="0" macro="[0]!TolLimit.btnTolCancel_click">
                <anchor>
                  <from>
                    <xdr:col>0</xdr:col>
                    <xdr:colOff>180975</xdr:colOff>
                    <xdr:row>3</xdr:row>
                    <xdr:rowOff>428625</xdr:rowOff>
                  </from>
                  <to>
                    <xdr:col>0</xdr:col>
                    <xdr:colOff>1152525</xdr:colOff>
                    <xdr:row>5</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udget">
    <pageSetUpPr fitToPage="1"/>
  </sheetPr>
  <dimension ref="A1:T44"/>
  <sheetViews>
    <sheetView showGridLines="0" zoomScaleNormal="100" workbookViewId="0">
      <pane xSplit="1" topLeftCell="B1" activePane="topRight" state="frozen"/>
      <selection activeCell="C17" sqref="C17"/>
      <selection pane="topRight" activeCell="C17" sqref="C17"/>
    </sheetView>
  </sheetViews>
  <sheetFormatPr defaultColWidth="9.140625" defaultRowHeight="12.75" x14ac:dyDescent="0.2"/>
  <cols>
    <col min="1" max="1" width="16" style="6" customWidth="1"/>
    <col min="2" max="2" width="3" style="7" customWidth="1"/>
    <col min="3" max="3" width="34.85546875" style="7" customWidth="1"/>
    <col min="4" max="4" width="14" style="7" customWidth="1"/>
    <col min="5" max="5" width="24.42578125" style="7" customWidth="1"/>
    <col min="6" max="7" width="11" style="7" customWidth="1"/>
    <col min="8" max="8" width="13.85546875" style="7" customWidth="1"/>
    <col min="9" max="9" width="13.85546875" style="6" hidden="1" customWidth="1"/>
    <col min="10" max="10" width="13.140625" style="6" customWidth="1"/>
    <col min="11" max="11" width="31.5703125" style="7" hidden="1" customWidth="1"/>
    <col min="12" max="14" width="9.140625" style="7" hidden="1" customWidth="1"/>
    <col min="15" max="15" width="9.140625" style="10" hidden="1" customWidth="1"/>
    <col min="16" max="16" width="63.140625" style="7" customWidth="1"/>
    <col min="17" max="17" width="9.140625" style="7" customWidth="1"/>
    <col min="18" max="19" width="9.140625" style="7"/>
    <col min="20" max="20" width="9.140625" style="6" customWidth="1"/>
    <col min="21" max="254" width="9.140625" style="7"/>
    <col min="255" max="255" width="3" style="7" customWidth="1"/>
    <col min="256" max="256" width="28.85546875" style="7" customWidth="1"/>
    <col min="257" max="257" width="14" style="7" customWidth="1"/>
    <col min="258" max="258" width="24.42578125" style="7" customWidth="1"/>
    <col min="259" max="260" width="11" style="7" customWidth="1"/>
    <col min="261" max="261" width="13.85546875" style="7" customWidth="1"/>
    <col min="262" max="266" width="0" style="7" hidden="1" customWidth="1"/>
    <col min="267" max="510" width="9.140625" style="7"/>
    <col min="511" max="511" width="3" style="7" customWidth="1"/>
    <col min="512" max="512" width="28.85546875" style="7" customWidth="1"/>
    <col min="513" max="513" width="14" style="7" customWidth="1"/>
    <col min="514" max="514" width="24.42578125" style="7" customWidth="1"/>
    <col min="515" max="516" width="11" style="7" customWidth="1"/>
    <col min="517" max="517" width="13.85546875" style="7" customWidth="1"/>
    <col min="518" max="522" width="0" style="7" hidden="1" customWidth="1"/>
    <col min="523" max="766" width="9.140625" style="7"/>
    <col min="767" max="767" width="3" style="7" customWidth="1"/>
    <col min="768" max="768" width="28.85546875" style="7" customWidth="1"/>
    <col min="769" max="769" width="14" style="7" customWidth="1"/>
    <col min="770" max="770" width="24.42578125" style="7" customWidth="1"/>
    <col min="771" max="772" width="11" style="7" customWidth="1"/>
    <col min="773" max="773" width="13.85546875" style="7" customWidth="1"/>
    <col min="774" max="778" width="0" style="7" hidden="1" customWidth="1"/>
    <col min="779" max="1022" width="9.140625" style="7"/>
    <col min="1023" max="1023" width="3" style="7" customWidth="1"/>
    <col min="1024" max="1024" width="28.85546875" style="7" customWidth="1"/>
    <col min="1025" max="1025" width="14" style="7" customWidth="1"/>
    <col min="1026" max="1026" width="24.42578125" style="7" customWidth="1"/>
    <col min="1027" max="1028" width="11" style="7" customWidth="1"/>
    <col min="1029" max="1029" width="13.85546875" style="7" customWidth="1"/>
    <col min="1030" max="1034" width="0" style="7" hidden="1" customWidth="1"/>
    <col min="1035" max="1278" width="9.140625" style="7"/>
    <col min="1279" max="1279" width="3" style="7" customWidth="1"/>
    <col min="1280" max="1280" width="28.85546875" style="7" customWidth="1"/>
    <col min="1281" max="1281" width="14" style="7" customWidth="1"/>
    <col min="1282" max="1282" width="24.42578125" style="7" customWidth="1"/>
    <col min="1283" max="1284" width="11" style="7" customWidth="1"/>
    <col min="1285" max="1285" width="13.85546875" style="7" customWidth="1"/>
    <col min="1286" max="1290" width="0" style="7" hidden="1" customWidth="1"/>
    <col min="1291" max="1534" width="9.140625" style="7"/>
    <col min="1535" max="1535" width="3" style="7" customWidth="1"/>
    <col min="1536" max="1536" width="28.85546875" style="7" customWidth="1"/>
    <col min="1537" max="1537" width="14" style="7" customWidth="1"/>
    <col min="1538" max="1538" width="24.42578125" style="7" customWidth="1"/>
    <col min="1539" max="1540" width="11" style="7" customWidth="1"/>
    <col min="1541" max="1541" width="13.85546875" style="7" customWidth="1"/>
    <col min="1542" max="1546" width="0" style="7" hidden="1" customWidth="1"/>
    <col min="1547" max="1790" width="9.140625" style="7"/>
    <col min="1791" max="1791" width="3" style="7" customWidth="1"/>
    <col min="1792" max="1792" width="28.85546875" style="7" customWidth="1"/>
    <col min="1793" max="1793" width="14" style="7" customWidth="1"/>
    <col min="1794" max="1794" width="24.42578125" style="7" customWidth="1"/>
    <col min="1795" max="1796" width="11" style="7" customWidth="1"/>
    <col min="1797" max="1797" width="13.85546875" style="7" customWidth="1"/>
    <col min="1798" max="1802" width="0" style="7" hidden="1" customWidth="1"/>
    <col min="1803" max="2046" width="9.140625" style="7"/>
    <col min="2047" max="2047" width="3" style="7" customWidth="1"/>
    <col min="2048" max="2048" width="28.85546875" style="7" customWidth="1"/>
    <col min="2049" max="2049" width="14" style="7" customWidth="1"/>
    <col min="2050" max="2050" width="24.42578125" style="7" customWidth="1"/>
    <col min="2051" max="2052" width="11" style="7" customWidth="1"/>
    <col min="2053" max="2053" width="13.85546875" style="7" customWidth="1"/>
    <col min="2054" max="2058" width="0" style="7" hidden="1" customWidth="1"/>
    <col min="2059" max="2302" width="9.140625" style="7"/>
    <col min="2303" max="2303" width="3" style="7" customWidth="1"/>
    <col min="2304" max="2304" width="28.85546875" style="7" customWidth="1"/>
    <col min="2305" max="2305" width="14" style="7" customWidth="1"/>
    <col min="2306" max="2306" width="24.42578125" style="7" customWidth="1"/>
    <col min="2307" max="2308" width="11" style="7" customWidth="1"/>
    <col min="2309" max="2309" width="13.85546875" style="7" customWidth="1"/>
    <col min="2310" max="2314" width="0" style="7" hidden="1" customWidth="1"/>
    <col min="2315" max="2558" width="9.140625" style="7"/>
    <col min="2559" max="2559" width="3" style="7" customWidth="1"/>
    <col min="2560" max="2560" width="28.85546875" style="7" customWidth="1"/>
    <col min="2561" max="2561" width="14" style="7" customWidth="1"/>
    <col min="2562" max="2562" width="24.42578125" style="7" customWidth="1"/>
    <col min="2563" max="2564" width="11" style="7" customWidth="1"/>
    <col min="2565" max="2565" width="13.85546875" style="7" customWidth="1"/>
    <col min="2566" max="2570" width="0" style="7" hidden="1" customWidth="1"/>
    <col min="2571" max="2814" width="9.140625" style="7"/>
    <col min="2815" max="2815" width="3" style="7" customWidth="1"/>
    <col min="2816" max="2816" width="28.85546875" style="7" customWidth="1"/>
    <col min="2817" max="2817" width="14" style="7" customWidth="1"/>
    <col min="2818" max="2818" width="24.42578125" style="7" customWidth="1"/>
    <col min="2819" max="2820" width="11" style="7" customWidth="1"/>
    <col min="2821" max="2821" width="13.85546875" style="7" customWidth="1"/>
    <col min="2822" max="2826" width="0" style="7" hidden="1" customWidth="1"/>
    <col min="2827" max="3070" width="9.140625" style="7"/>
    <col min="3071" max="3071" width="3" style="7" customWidth="1"/>
    <col min="3072" max="3072" width="28.85546875" style="7" customWidth="1"/>
    <col min="3073" max="3073" width="14" style="7" customWidth="1"/>
    <col min="3074" max="3074" width="24.42578125" style="7" customWidth="1"/>
    <col min="3075" max="3076" width="11" style="7" customWidth="1"/>
    <col min="3077" max="3077" width="13.85546875" style="7" customWidth="1"/>
    <col min="3078" max="3082" width="0" style="7" hidden="1" customWidth="1"/>
    <col min="3083" max="3326" width="9.140625" style="7"/>
    <col min="3327" max="3327" width="3" style="7" customWidth="1"/>
    <col min="3328" max="3328" width="28.85546875" style="7" customWidth="1"/>
    <col min="3329" max="3329" width="14" style="7" customWidth="1"/>
    <col min="3330" max="3330" width="24.42578125" style="7" customWidth="1"/>
    <col min="3331" max="3332" width="11" style="7" customWidth="1"/>
    <col min="3333" max="3333" width="13.85546875" style="7" customWidth="1"/>
    <col min="3334" max="3338" width="0" style="7" hidden="1" customWidth="1"/>
    <col min="3339" max="3582" width="9.140625" style="7"/>
    <col min="3583" max="3583" width="3" style="7" customWidth="1"/>
    <col min="3584" max="3584" width="28.85546875" style="7" customWidth="1"/>
    <col min="3585" max="3585" width="14" style="7" customWidth="1"/>
    <col min="3586" max="3586" width="24.42578125" style="7" customWidth="1"/>
    <col min="3587" max="3588" width="11" style="7" customWidth="1"/>
    <col min="3589" max="3589" width="13.85546875" style="7" customWidth="1"/>
    <col min="3590" max="3594" width="0" style="7" hidden="1" customWidth="1"/>
    <col min="3595" max="3838" width="9.140625" style="7"/>
    <col min="3839" max="3839" width="3" style="7" customWidth="1"/>
    <col min="3840" max="3840" width="28.85546875" style="7" customWidth="1"/>
    <col min="3841" max="3841" width="14" style="7" customWidth="1"/>
    <col min="3842" max="3842" width="24.42578125" style="7" customWidth="1"/>
    <col min="3843" max="3844" width="11" style="7" customWidth="1"/>
    <col min="3845" max="3845" width="13.85546875" style="7" customWidth="1"/>
    <col min="3846" max="3850" width="0" style="7" hidden="1" customWidth="1"/>
    <col min="3851" max="4094" width="9.140625" style="7"/>
    <col min="4095" max="4095" width="3" style="7" customWidth="1"/>
    <col min="4096" max="4096" width="28.85546875" style="7" customWidth="1"/>
    <col min="4097" max="4097" width="14" style="7" customWidth="1"/>
    <col min="4098" max="4098" width="24.42578125" style="7" customWidth="1"/>
    <col min="4099" max="4100" width="11" style="7" customWidth="1"/>
    <col min="4101" max="4101" width="13.85546875" style="7" customWidth="1"/>
    <col min="4102" max="4106" width="0" style="7" hidden="1" customWidth="1"/>
    <col min="4107" max="4350" width="9.140625" style="7"/>
    <col min="4351" max="4351" width="3" style="7" customWidth="1"/>
    <col min="4352" max="4352" width="28.85546875" style="7" customWidth="1"/>
    <col min="4353" max="4353" width="14" style="7" customWidth="1"/>
    <col min="4354" max="4354" width="24.42578125" style="7" customWidth="1"/>
    <col min="4355" max="4356" width="11" style="7" customWidth="1"/>
    <col min="4357" max="4357" width="13.85546875" style="7" customWidth="1"/>
    <col min="4358" max="4362" width="0" style="7" hidden="1" customWidth="1"/>
    <col min="4363" max="4606" width="9.140625" style="7"/>
    <col min="4607" max="4607" width="3" style="7" customWidth="1"/>
    <col min="4608" max="4608" width="28.85546875" style="7" customWidth="1"/>
    <col min="4609" max="4609" width="14" style="7" customWidth="1"/>
    <col min="4610" max="4610" width="24.42578125" style="7" customWidth="1"/>
    <col min="4611" max="4612" width="11" style="7" customWidth="1"/>
    <col min="4613" max="4613" width="13.85546875" style="7" customWidth="1"/>
    <col min="4614" max="4618" width="0" style="7" hidden="1" customWidth="1"/>
    <col min="4619" max="4862" width="9.140625" style="7"/>
    <col min="4863" max="4863" width="3" style="7" customWidth="1"/>
    <col min="4864" max="4864" width="28.85546875" style="7" customWidth="1"/>
    <col min="4865" max="4865" width="14" style="7" customWidth="1"/>
    <col min="4866" max="4866" width="24.42578125" style="7" customWidth="1"/>
    <col min="4867" max="4868" width="11" style="7" customWidth="1"/>
    <col min="4869" max="4869" width="13.85546875" style="7" customWidth="1"/>
    <col min="4870" max="4874" width="0" style="7" hidden="1" customWidth="1"/>
    <col min="4875" max="5118" width="9.140625" style="7"/>
    <col min="5119" max="5119" width="3" style="7" customWidth="1"/>
    <col min="5120" max="5120" width="28.85546875" style="7" customWidth="1"/>
    <col min="5121" max="5121" width="14" style="7" customWidth="1"/>
    <col min="5122" max="5122" width="24.42578125" style="7" customWidth="1"/>
    <col min="5123" max="5124" width="11" style="7" customWidth="1"/>
    <col min="5125" max="5125" width="13.85546875" style="7" customWidth="1"/>
    <col min="5126" max="5130" width="0" style="7" hidden="1" customWidth="1"/>
    <col min="5131" max="5374" width="9.140625" style="7"/>
    <col min="5375" max="5375" width="3" style="7" customWidth="1"/>
    <col min="5376" max="5376" width="28.85546875" style="7" customWidth="1"/>
    <col min="5377" max="5377" width="14" style="7" customWidth="1"/>
    <col min="5378" max="5378" width="24.42578125" style="7" customWidth="1"/>
    <col min="5379" max="5380" width="11" style="7" customWidth="1"/>
    <col min="5381" max="5381" width="13.85546875" style="7" customWidth="1"/>
    <col min="5382" max="5386" width="0" style="7" hidden="1" customWidth="1"/>
    <col min="5387" max="5630" width="9.140625" style="7"/>
    <col min="5631" max="5631" width="3" style="7" customWidth="1"/>
    <col min="5632" max="5632" width="28.85546875" style="7" customWidth="1"/>
    <col min="5633" max="5633" width="14" style="7" customWidth="1"/>
    <col min="5634" max="5634" width="24.42578125" style="7" customWidth="1"/>
    <col min="5635" max="5636" width="11" style="7" customWidth="1"/>
    <col min="5637" max="5637" width="13.85546875" style="7" customWidth="1"/>
    <col min="5638" max="5642" width="0" style="7" hidden="1" customWidth="1"/>
    <col min="5643" max="5886" width="9.140625" style="7"/>
    <col min="5887" max="5887" width="3" style="7" customWidth="1"/>
    <col min="5888" max="5888" width="28.85546875" style="7" customWidth="1"/>
    <col min="5889" max="5889" width="14" style="7" customWidth="1"/>
    <col min="5890" max="5890" width="24.42578125" style="7" customWidth="1"/>
    <col min="5891" max="5892" width="11" style="7" customWidth="1"/>
    <col min="5893" max="5893" width="13.85546875" style="7" customWidth="1"/>
    <col min="5894" max="5898" width="0" style="7" hidden="1" customWidth="1"/>
    <col min="5899" max="6142" width="9.140625" style="7"/>
    <col min="6143" max="6143" width="3" style="7" customWidth="1"/>
    <col min="6144" max="6144" width="28.85546875" style="7" customWidth="1"/>
    <col min="6145" max="6145" width="14" style="7" customWidth="1"/>
    <col min="6146" max="6146" width="24.42578125" style="7" customWidth="1"/>
    <col min="6147" max="6148" width="11" style="7" customWidth="1"/>
    <col min="6149" max="6149" width="13.85546875" style="7" customWidth="1"/>
    <col min="6150" max="6154" width="0" style="7" hidden="1" customWidth="1"/>
    <col min="6155" max="6398" width="9.140625" style="7"/>
    <col min="6399" max="6399" width="3" style="7" customWidth="1"/>
    <col min="6400" max="6400" width="28.85546875" style="7" customWidth="1"/>
    <col min="6401" max="6401" width="14" style="7" customWidth="1"/>
    <col min="6402" max="6402" width="24.42578125" style="7" customWidth="1"/>
    <col min="6403" max="6404" width="11" style="7" customWidth="1"/>
    <col min="6405" max="6405" width="13.85546875" style="7" customWidth="1"/>
    <col min="6406" max="6410" width="0" style="7" hidden="1" customWidth="1"/>
    <col min="6411" max="6654" width="9.140625" style="7"/>
    <col min="6655" max="6655" width="3" style="7" customWidth="1"/>
    <col min="6656" max="6656" width="28.85546875" style="7" customWidth="1"/>
    <col min="6657" max="6657" width="14" style="7" customWidth="1"/>
    <col min="6658" max="6658" width="24.42578125" style="7" customWidth="1"/>
    <col min="6659" max="6660" width="11" style="7" customWidth="1"/>
    <col min="6661" max="6661" width="13.85546875" style="7" customWidth="1"/>
    <col min="6662" max="6666" width="0" style="7" hidden="1" customWidth="1"/>
    <col min="6667" max="6910" width="9.140625" style="7"/>
    <col min="6911" max="6911" width="3" style="7" customWidth="1"/>
    <col min="6912" max="6912" width="28.85546875" style="7" customWidth="1"/>
    <col min="6913" max="6913" width="14" style="7" customWidth="1"/>
    <col min="6914" max="6914" width="24.42578125" style="7" customWidth="1"/>
    <col min="6915" max="6916" width="11" style="7" customWidth="1"/>
    <col min="6917" max="6917" width="13.85546875" style="7" customWidth="1"/>
    <col min="6918" max="6922" width="0" style="7" hidden="1" customWidth="1"/>
    <col min="6923" max="7166" width="9.140625" style="7"/>
    <col min="7167" max="7167" width="3" style="7" customWidth="1"/>
    <col min="7168" max="7168" width="28.85546875" style="7" customWidth="1"/>
    <col min="7169" max="7169" width="14" style="7" customWidth="1"/>
    <col min="7170" max="7170" width="24.42578125" style="7" customWidth="1"/>
    <col min="7171" max="7172" width="11" style="7" customWidth="1"/>
    <col min="7173" max="7173" width="13.85546875" style="7" customWidth="1"/>
    <col min="7174" max="7178" width="0" style="7" hidden="1" customWidth="1"/>
    <col min="7179" max="7422" width="9.140625" style="7"/>
    <col min="7423" max="7423" width="3" style="7" customWidth="1"/>
    <col min="7424" max="7424" width="28.85546875" style="7" customWidth="1"/>
    <col min="7425" max="7425" width="14" style="7" customWidth="1"/>
    <col min="7426" max="7426" width="24.42578125" style="7" customWidth="1"/>
    <col min="7427" max="7428" width="11" style="7" customWidth="1"/>
    <col min="7429" max="7429" width="13.85546875" style="7" customWidth="1"/>
    <col min="7430" max="7434" width="0" style="7" hidden="1" customWidth="1"/>
    <col min="7435" max="7678" width="9.140625" style="7"/>
    <col min="7679" max="7679" width="3" style="7" customWidth="1"/>
    <col min="7680" max="7680" width="28.85546875" style="7" customWidth="1"/>
    <col min="7681" max="7681" width="14" style="7" customWidth="1"/>
    <col min="7682" max="7682" width="24.42578125" style="7" customWidth="1"/>
    <col min="7683" max="7684" width="11" style="7" customWidth="1"/>
    <col min="7685" max="7685" width="13.85546875" style="7" customWidth="1"/>
    <col min="7686" max="7690" width="0" style="7" hidden="1" customWidth="1"/>
    <col min="7691" max="7934" width="9.140625" style="7"/>
    <col min="7935" max="7935" width="3" style="7" customWidth="1"/>
    <col min="7936" max="7936" width="28.85546875" style="7" customWidth="1"/>
    <col min="7937" max="7937" width="14" style="7" customWidth="1"/>
    <col min="7938" max="7938" width="24.42578125" style="7" customWidth="1"/>
    <col min="7939" max="7940" width="11" style="7" customWidth="1"/>
    <col min="7941" max="7941" width="13.85546875" style="7" customWidth="1"/>
    <col min="7942" max="7946" width="0" style="7" hidden="1" customWidth="1"/>
    <col min="7947" max="8190" width="9.140625" style="7"/>
    <col min="8191" max="8191" width="3" style="7" customWidth="1"/>
    <col min="8192" max="8192" width="28.85546875" style="7" customWidth="1"/>
    <col min="8193" max="8193" width="14" style="7" customWidth="1"/>
    <col min="8194" max="8194" width="24.42578125" style="7" customWidth="1"/>
    <col min="8195" max="8196" width="11" style="7" customWidth="1"/>
    <col min="8197" max="8197" width="13.85546875" style="7" customWidth="1"/>
    <col min="8198" max="8202" width="0" style="7" hidden="1" customWidth="1"/>
    <col min="8203" max="8446" width="9.140625" style="7"/>
    <col min="8447" max="8447" width="3" style="7" customWidth="1"/>
    <col min="8448" max="8448" width="28.85546875" style="7" customWidth="1"/>
    <col min="8449" max="8449" width="14" style="7" customWidth="1"/>
    <col min="8450" max="8450" width="24.42578125" style="7" customWidth="1"/>
    <col min="8451" max="8452" width="11" style="7" customWidth="1"/>
    <col min="8453" max="8453" width="13.85546875" style="7" customWidth="1"/>
    <col min="8454" max="8458" width="0" style="7" hidden="1" customWidth="1"/>
    <col min="8459" max="8702" width="9.140625" style="7"/>
    <col min="8703" max="8703" width="3" style="7" customWidth="1"/>
    <col min="8704" max="8704" width="28.85546875" style="7" customWidth="1"/>
    <col min="8705" max="8705" width="14" style="7" customWidth="1"/>
    <col min="8706" max="8706" width="24.42578125" style="7" customWidth="1"/>
    <col min="8707" max="8708" width="11" style="7" customWidth="1"/>
    <col min="8709" max="8709" width="13.85546875" style="7" customWidth="1"/>
    <col min="8710" max="8714" width="0" style="7" hidden="1" customWidth="1"/>
    <col min="8715" max="8958" width="9.140625" style="7"/>
    <col min="8959" max="8959" width="3" style="7" customWidth="1"/>
    <col min="8960" max="8960" width="28.85546875" style="7" customWidth="1"/>
    <col min="8961" max="8961" width="14" style="7" customWidth="1"/>
    <col min="8962" max="8962" width="24.42578125" style="7" customWidth="1"/>
    <col min="8963" max="8964" width="11" style="7" customWidth="1"/>
    <col min="8965" max="8965" width="13.85546875" style="7" customWidth="1"/>
    <col min="8966" max="8970" width="0" style="7" hidden="1" customWidth="1"/>
    <col min="8971" max="9214" width="9.140625" style="7"/>
    <col min="9215" max="9215" width="3" style="7" customWidth="1"/>
    <col min="9216" max="9216" width="28.85546875" style="7" customWidth="1"/>
    <col min="9217" max="9217" width="14" style="7" customWidth="1"/>
    <col min="9218" max="9218" width="24.42578125" style="7" customWidth="1"/>
    <col min="9219" max="9220" width="11" style="7" customWidth="1"/>
    <col min="9221" max="9221" width="13.85546875" style="7" customWidth="1"/>
    <col min="9222" max="9226" width="0" style="7" hidden="1" customWidth="1"/>
    <col min="9227" max="9470" width="9.140625" style="7"/>
    <col min="9471" max="9471" width="3" style="7" customWidth="1"/>
    <col min="9472" max="9472" width="28.85546875" style="7" customWidth="1"/>
    <col min="9473" max="9473" width="14" style="7" customWidth="1"/>
    <col min="9474" max="9474" width="24.42578125" style="7" customWidth="1"/>
    <col min="9475" max="9476" width="11" style="7" customWidth="1"/>
    <col min="9477" max="9477" width="13.85546875" style="7" customWidth="1"/>
    <col min="9478" max="9482" width="0" style="7" hidden="1" customWidth="1"/>
    <col min="9483" max="9726" width="9.140625" style="7"/>
    <col min="9727" max="9727" width="3" style="7" customWidth="1"/>
    <col min="9728" max="9728" width="28.85546875" style="7" customWidth="1"/>
    <col min="9729" max="9729" width="14" style="7" customWidth="1"/>
    <col min="9730" max="9730" width="24.42578125" style="7" customWidth="1"/>
    <col min="9731" max="9732" width="11" style="7" customWidth="1"/>
    <col min="9733" max="9733" width="13.85546875" style="7" customWidth="1"/>
    <col min="9734" max="9738" width="0" style="7" hidden="1" customWidth="1"/>
    <col min="9739" max="9982" width="9.140625" style="7"/>
    <col min="9983" max="9983" width="3" style="7" customWidth="1"/>
    <col min="9984" max="9984" width="28.85546875" style="7" customWidth="1"/>
    <col min="9985" max="9985" width="14" style="7" customWidth="1"/>
    <col min="9986" max="9986" width="24.42578125" style="7" customWidth="1"/>
    <col min="9987" max="9988" width="11" style="7" customWidth="1"/>
    <col min="9989" max="9989" width="13.85546875" style="7" customWidth="1"/>
    <col min="9990" max="9994" width="0" style="7" hidden="1" customWidth="1"/>
    <col min="9995" max="10238" width="9.140625" style="7"/>
    <col min="10239" max="10239" width="3" style="7" customWidth="1"/>
    <col min="10240" max="10240" width="28.85546875" style="7" customWidth="1"/>
    <col min="10241" max="10241" width="14" style="7" customWidth="1"/>
    <col min="10242" max="10242" width="24.42578125" style="7" customWidth="1"/>
    <col min="10243" max="10244" width="11" style="7" customWidth="1"/>
    <col min="10245" max="10245" width="13.85546875" style="7" customWidth="1"/>
    <col min="10246" max="10250" width="0" style="7" hidden="1" customWidth="1"/>
    <col min="10251" max="10494" width="9.140625" style="7"/>
    <col min="10495" max="10495" width="3" style="7" customWidth="1"/>
    <col min="10496" max="10496" width="28.85546875" style="7" customWidth="1"/>
    <col min="10497" max="10497" width="14" style="7" customWidth="1"/>
    <col min="10498" max="10498" width="24.42578125" style="7" customWidth="1"/>
    <col min="10499" max="10500" width="11" style="7" customWidth="1"/>
    <col min="10501" max="10501" width="13.85546875" style="7" customWidth="1"/>
    <col min="10502" max="10506" width="0" style="7" hidden="1" customWidth="1"/>
    <col min="10507" max="10750" width="9.140625" style="7"/>
    <col min="10751" max="10751" width="3" style="7" customWidth="1"/>
    <col min="10752" max="10752" width="28.85546875" style="7" customWidth="1"/>
    <col min="10753" max="10753" width="14" style="7" customWidth="1"/>
    <col min="10754" max="10754" width="24.42578125" style="7" customWidth="1"/>
    <col min="10755" max="10756" width="11" style="7" customWidth="1"/>
    <col min="10757" max="10757" width="13.85546875" style="7" customWidth="1"/>
    <col min="10758" max="10762" width="0" style="7" hidden="1" customWidth="1"/>
    <col min="10763" max="11006" width="9.140625" style="7"/>
    <col min="11007" max="11007" width="3" style="7" customWidth="1"/>
    <col min="11008" max="11008" width="28.85546875" style="7" customWidth="1"/>
    <col min="11009" max="11009" width="14" style="7" customWidth="1"/>
    <col min="11010" max="11010" width="24.42578125" style="7" customWidth="1"/>
    <col min="11011" max="11012" width="11" style="7" customWidth="1"/>
    <col min="11013" max="11013" width="13.85546875" style="7" customWidth="1"/>
    <col min="11014" max="11018" width="0" style="7" hidden="1" customWidth="1"/>
    <col min="11019" max="11262" width="9.140625" style="7"/>
    <col min="11263" max="11263" width="3" style="7" customWidth="1"/>
    <col min="11264" max="11264" width="28.85546875" style="7" customWidth="1"/>
    <col min="11265" max="11265" width="14" style="7" customWidth="1"/>
    <col min="11266" max="11266" width="24.42578125" style="7" customWidth="1"/>
    <col min="11267" max="11268" width="11" style="7" customWidth="1"/>
    <col min="11269" max="11269" width="13.85546875" style="7" customWidth="1"/>
    <col min="11270" max="11274" width="0" style="7" hidden="1" customWidth="1"/>
    <col min="11275" max="11518" width="9.140625" style="7"/>
    <col min="11519" max="11519" width="3" style="7" customWidth="1"/>
    <col min="11520" max="11520" width="28.85546875" style="7" customWidth="1"/>
    <col min="11521" max="11521" width="14" style="7" customWidth="1"/>
    <col min="11522" max="11522" width="24.42578125" style="7" customWidth="1"/>
    <col min="11523" max="11524" width="11" style="7" customWidth="1"/>
    <col min="11525" max="11525" width="13.85546875" style="7" customWidth="1"/>
    <col min="11526" max="11530" width="0" style="7" hidden="1" customWidth="1"/>
    <col min="11531" max="11774" width="9.140625" style="7"/>
    <col min="11775" max="11775" width="3" style="7" customWidth="1"/>
    <col min="11776" max="11776" width="28.85546875" style="7" customWidth="1"/>
    <col min="11777" max="11777" width="14" style="7" customWidth="1"/>
    <col min="11778" max="11778" width="24.42578125" style="7" customWidth="1"/>
    <col min="11779" max="11780" width="11" style="7" customWidth="1"/>
    <col min="11781" max="11781" width="13.85546875" style="7" customWidth="1"/>
    <col min="11782" max="11786" width="0" style="7" hidden="1" customWidth="1"/>
    <col min="11787" max="12030" width="9.140625" style="7"/>
    <col min="12031" max="12031" width="3" style="7" customWidth="1"/>
    <col min="12032" max="12032" width="28.85546875" style="7" customWidth="1"/>
    <col min="12033" max="12033" width="14" style="7" customWidth="1"/>
    <col min="12034" max="12034" width="24.42578125" style="7" customWidth="1"/>
    <col min="12035" max="12036" width="11" style="7" customWidth="1"/>
    <col min="12037" max="12037" width="13.85546875" style="7" customWidth="1"/>
    <col min="12038" max="12042" width="0" style="7" hidden="1" customWidth="1"/>
    <col min="12043" max="12286" width="9.140625" style="7"/>
    <col min="12287" max="12287" width="3" style="7" customWidth="1"/>
    <col min="12288" max="12288" width="28.85546875" style="7" customWidth="1"/>
    <col min="12289" max="12289" width="14" style="7" customWidth="1"/>
    <col min="12290" max="12290" width="24.42578125" style="7" customWidth="1"/>
    <col min="12291" max="12292" width="11" style="7" customWidth="1"/>
    <col min="12293" max="12293" width="13.85546875" style="7" customWidth="1"/>
    <col min="12294" max="12298" width="0" style="7" hidden="1" customWidth="1"/>
    <col min="12299" max="12542" width="9.140625" style="7"/>
    <col min="12543" max="12543" width="3" style="7" customWidth="1"/>
    <col min="12544" max="12544" width="28.85546875" style="7" customWidth="1"/>
    <col min="12545" max="12545" width="14" style="7" customWidth="1"/>
    <col min="12546" max="12546" width="24.42578125" style="7" customWidth="1"/>
    <col min="12547" max="12548" width="11" style="7" customWidth="1"/>
    <col min="12549" max="12549" width="13.85546875" style="7" customWidth="1"/>
    <col min="12550" max="12554" width="0" style="7" hidden="1" customWidth="1"/>
    <col min="12555" max="12798" width="9.140625" style="7"/>
    <col min="12799" max="12799" width="3" style="7" customWidth="1"/>
    <col min="12800" max="12800" width="28.85546875" style="7" customWidth="1"/>
    <col min="12801" max="12801" width="14" style="7" customWidth="1"/>
    <col min="12802" max="12802" width="24.42578125" style="7" customWidth="1"/>
    <col min="12803" max="12804" width="11" style="7" customWidth="1"/>
    <col min="12805" max="12805" width="13.85546875" style="7" customWidth="1"/>
    <col min="12806" max="12810" width="0" style="7" hidden="1" customWidth="1"/>
    <col min="12811" max="13054" width="9.140625" style="7"/>
    <col min="13055" max="13055" width="3" style="7" customWidth="1"/>
    <col min="13056" max="13056" width="28.85546875" style="7" customWidth="1"/>
    <col min="13057" max="13057" width="14" style="7" customWidth="1"/>
    <col min="13058" max="13058" width="24.42578125" style="7" customWidth="1"/>
    <col min="13059" max="13060" width="11" style="7" customWidth="1"/>
    <col min="13061" max="13061" width="13.85546875" style="7" customWidth="1"/>
    <col min="13062" max="13066" width="0" style="7" hidden="1" customWidth="1"/>
    <col min="13067" max="13310" width="9.140625" style="7"/>
    <col min="13311" max="13311" width="3" style="7" customWidth="1"/>
    <col min="13312" max="13312" width="28.85546875" style="7" customWidth="1"/>
    <col min="13313" max="13313" width="14" style="7" customWidth="1"/>
    <col min="13314" max="13314" width="24.42578125" style="7" customWidth="1"/>
    <col min="13315" max="13316" width="11" style="7" customWidth="1"/>
    <col min="13317" max="13317" width="13.85546875" style="7" customWidth="1"/>
    <col min="13318" max="13322" width="0" style="7" hidden="1" customWidth="1"/>
    <col min="13323" max="13566" width="9.140625" style="7"/>
    <col min="13567" max="13567" width="3" style="7" customWidth="1"/>
    <col min="13568" max="13568" width="28.85546875" style="7" customWidth="1"/>
    <col min="13569" max="13569" width="14" style="7" customWidth="1"/>
    <col min="13570" max="13570" width="24.42578125" style="7" customWidth="1"/>
    <col min="13571" max="13572" width="11" style="7" customWidth="1"/>
    <col min="13573" max="13573" width="13.85546875" style="7" customWidth="1"/>
    <col min="13574" max="13578" width="0" style="7" hidden="1" customWidth="1"/>
    <col min="13579" max="13822" width="9.140625" style="7"/>
    <col min="13823" max="13823" width="3" style="7" customWidth="1"/>
    <col min="13824" max="13824" width="28.85546875" style="7" customWidth="1"/>
    <col min="13825" max="13825" width="14" style="7" customWidth="1"/>
    <col min="13826" max="13826" width="24.42578125" style="7" customWidth="1"/>
    <col min="13827" max="13828" width="11" style="7" customWidth="1"/>
    <col min="13829" max="13829" width="13.85546875" style="7" customWidth="1"/>
    <col min="13830" max="13834" width="0" style="7" hidden="1" customWidth="1"/>
    <col min="13835" max="14078" width="9.140625" style="7"/>
    <col min="14079" max="14079" width="3" style="7" customWidth="1"/>
    <col min="14080" max="14080" width="28.85546875" style="7" customWidth="1"/>
    <col min="14081" max="14081" width="14" style="7" customWidth="1"/>
    <col min="14082" max="14082" width="24.42578125" style="7" customWidth="1"/>
    <col min="14083" max="14084" width="11" style="7" customWidth="1"/>
    <col min="14085" max="14085" width="13.85546875" style="7" customWidth="1"/>
    <col min="14086" max="14090" width="0" style="7" hidden="1" customWidth="1"/>
    <col min="14091" max="14334" width="9.140625" style="7"/>
    <col min="14335" max="14335" width="3" style="7" customWidth="1"/>
    <col min="14336" max="14336" width="28.85546875" style="7" customWidth="1"/>
    <col min="14337" max="14337" width="14" style="7" customWidth="1"/>
    <col min="14338" max="14338" width="24.42578125" style="7" customWidth="1"/>
    <col min="14339" max="14340" width="11" style="7" customWidth="1"/>
    <col min="14341" max="14341" width="13.85546875" style="7" customWidth="1"/>
    <col min="14342" max="14346" width="0" style="7" hidden="1" customWidth="1"/>
    <col min="14347" max="14590" width="9.140625" style="7"/>
    <col min="14591" max="14591" width="3" style="7" customWidth="1"/>
    <col min="14592" max="14592" width="28.85546875" style="7" customWidth="1"/>
    <col min="14593" max="14593" width="14" style="7" customWidth="1"/>
    <col min="14594" max="14594" width="24.42578125" style="7" customWidth="1"/>
    <col min="14595" max="14596" width="11" style="7" customWidth="1"/>
    <col min="14597" max="14597" width="13.85546875" style="7" customWidth="1"/>
    <col min="14598" max="14602" width="0" style="7" hidden="1" customWidth="1"/>
    <col min="14603" max="14846" width="9.140625" style="7"/>
    <col min="14847" max="14847" width="3" style="7" customWidth="1"/>
    <col min="14848" max="14848" width="28.85546875" style="7" customWidth="1"/>
    <col min="14849" max="14849" width="14" style="7" customWidth="1"/>
    <col min="14850" max="14850" width="24.42578125" style="7" customWidth="1"/>
    <col min="14851" max="14852" width="11" style="7" customWidth="1"/>
    <col min="14853" max="14853" width="13.85546875" style="7" customWidth="1"/>
    <col min="14854" max="14858" width="0" style="7" hidden="1" customWidth="1"/>
    <col min="14859" max="15102" width="9.140625" style="7"/>
    <col min="15103" max="15103" width="3" style="7" customWidth="1"/>
    <col min="15104" max="15104" width="28.85546875" style="7" customWidth="1"/>
    <col min="15105" max="15105" width="14" style="7" customWidth="1"/>
    <col min="15106" max="15106" width="24.42578125" style="7" customWidth="1"/>
    <col min="15107" max="15108" width="11" style="7" customWidth="1"/>
    <col min="15109" max="15109" width="13.85546875" style="7" customWidth="1"/>
    <col min="15110" max="15114" width="0" style="7" hidden="1" customWidth="1"/>
    <col min="15115" max="15358" width="9.140625" style="7"/>
    <col min="15359" max="15359" width="3" style="7" customWidth="1"/>
    <col min="15360" max="15360" width="28.85546875" style="7" customWidth="1"/>
    <col min="15361" max="15361" width="14" style="7" customWidth="1"/>
    <col min="15362" max="15362" width="24.42578125" style="7" customWidth="1"/>
    <col min="15363" max="15364" width="11" style="7" customWidth="1"/>
    <col min="15365" max="15365" width="13.85546875" style="7" customWidth="1"/>
    <col min="15366" max="15370" width="0" style="7" hidden="1" customWidth="1"/>
    <col min="15371" max="15614" width="9.140625" style="7"/>
    <col min="15615" max="15615" width="3" style="7" customWidth="1"/>
    <col min="15616" max="15616" width="28.85546875" style="7" customWidth="1"/>
    <col min="15617" max="15617" width="14" style="7" customWidth="1"/>
    <col min="15618" max="15618" width="24.42578125" style="7" customWidth="1"/>
    <col min="15619" max="15620" width="11" style="7" customWidth="1"/>
    <col min="15621" max="15621" width="13.85546875" style="7" customWidth="1"/>
    <col min="15622" max="15626" width="0" style="7" hidden="1" customWidth="1"/>
    <col min="15627" max="15870" width="9.140625" style="7"/>
    <col min="15871" max="15871" width="3" style="7" customWidth="1"/>
    <col min="15872" max="15872" width="28.85546875" style="7" customWidth="1"/>
    <col min="15873" max="15873" width="14" style="7" customWidth="1"/>
    <col min="15874" max="15874" width="24.42578125" style="7" customWidth="1"/>
    <col min="15875" max="15876" width="11" style="7" customWidth="1"/>
    <col min="15877" max="15877" width="13.85546875" style="7" customWidth="1"/>
    <col min="15878" max="15882" width="0" style="7" hidden="1" customWidth="1"/>
    <col min="15883" max="16126" width="9.140625" style="7"/>
    <col min="16127" max="16127" width="3" style="7" customWidth="1"/>
    <col min="16128" max="16128" width="28.85546875" style="7" customWidth="1"/>
    <col min="16129" max="16129" width="14" style="7" customWidth="1"/>
    <col min="16130" max="16130" width="24.42578125" style="7" customWidth="1"/>
    <col min="16131" max="16132" width="11" style="7" customWidth="1"/>
    <col min="16133" max="16133" width="13.85546875" style="7" customWidth="1"/>
    <col min="16134" max="16138" width="0" style="7" hidden="1" customWidth="1"/>
    <col min="16139" max="16384" width="9.140625" style="7"/>
  </cols>
  <sheetData>
    <row r="1" spans="1:20" ht="24" customHeight="1" thickBot="1" x14ac:dyDescent="0.4">
      <c r="B1" s="310" t="s">
        <v>1</v>
      </c>
      <c r="C1" s="311"/>
      <c r="D1" s="312"/>
      <c r="E1" s="312"/>
      <c r="F1" s="312"/>
      <c r="G1" s="312"/>
      <c r="H1" s="313"/>
      <c r="K1" s="8" t="s">
        <v>2</v>
      </c>
      <c r="L1" s="9">
        <v>1</v>
      </c>
    </row>
    <row r="2" spans="1:20" ht="30" customHeight="1" x14ac:dyDescent="0.2">
      <c r="B2" s="317" t="s">
        <v>316</v>
      </c>
      <c r="C2" s="317"/>
      <c r="D2" s="432" t="s">
        <v>365</v>
      </c>
      <c r="E2" s="429"/>
      <c r="F2" s="429"/>
      <c r="G2" s="429"/>
      <c r="H2" s="430"/>
      <c r="K2" s="6" t="s">
        <v>4</v>
      </c>
      <c r="L2" s="9">
        <f>NORMSINV(0.95)</f>
        <v>1.6448536269514715</v>
      </c>
      <c r="N2" s="10"/>
      <c r="O2" s="10" t="s">
        <v>364</v>
      </c>
    </row>
    <row r="3" spans="1:20" ht="15.6" customHeight="1" x14ac:dyDescent="0.2">
      <c r="B3" s="317" t="s">
        <v>5</v>
      </c>
      <c r="C3" s="317"/>
      <c r="D3" s="417" t="s">
        <v>359</v>
      </c>
      <c r="E3" s="418"/>
      <c r="F3" s="418"/>
      <c r="G3" s="418"/>
      <c r="H3" s="419"/>
      <c r="K3" s="6" t="s">
        <v>6</v>
      </c>
      <c r="L3" s="9">
        <f>NORMSINV(0.975)</f>
        <v>1.9599639845400536</v>
      </c>
      <c r="N3" s="10" t="s">
        <v>7</v>
      </c>
      <c r="O3" s="10">
        <v>31</v>
      </c>
      <c r="T3" s="103">
        <f>IF( H17 &lt;&gt; "",  H17*H17/($G$33*$G$33), "")</f>
        <v>0.99153712050569243</v>
      </c>
    </row>
    <row r="4" spans="1:20" ht="12.75" customHeight="1" x14ac:dyDescent="0.2">
      <c r="B4" s="317" t="s">
        <v>3</v>
      </c>
      <c r="C4" s="317"/>
      <c r="D4" s="417" t="s">
        <v>360</v>
      </c>
      <c r="E4" s="418"/>
      <c r="F4" s="418"/>
      <c r="G4" s="418"/>
      <c r="H4" s="419"/>
      <c r="K4" s="6" t="s">
        <v>9</v>
      </c>
      <c r="L4" s="9">
        <v>2</v>
      </c>
      <c r="N4" s="10" t="s">
        <v>10</v>
      </c>
      <c r="O4" s="10" t="s">
        <v>260</v>
      </c>
      <c r="T4" s="103">
        <f t="shared" ref="T4:T17" si="0">IF( H18 &lt;&gt; "",  H18*H18/($G$33*$G$33), "")</f>
        <v>8.461116761648577E-3</v>
      </c>
    </row>
    <row r="5" spans="1:20" ht="13.35" customHeight="1" x14ac:dyDescent="0.2">
      <c r="B5" s="317" t="s">
        <v>321</v>
      </c>
      <c r="C5" s="317"/>
      <c r="D5" s="431">
        <v>44393</v>
      </c>
      <c r="E5" s="418"/>
      <c r="F5" s="418"/>
      <c r="G5" s="418"/>
      <c r="H5" s="419"/>
      <c r="K5" s="6" t="s">
        <v>250</v>
      </c>
      <c r="L5" s="9">
        <f>NORMSINV(0.995)</f>
        <v>2.5758293035488999</v>
      </c>
      <c r="O5" s="10" t="s">
        <v>261</v>
      </c>
      <c r="T5" s="103">
        <f t="shared" si="0"/>
        <v>1.4689438822306559E-7</v>
      </c>
    </row>
    <row r="6" spans="1:20" ht="13.35" customHeight="1" x14ac:dyDescent="0.2">
      <c r="B6" s="317" t="s">
        <v>68</v>
      </c>
      <c r="C6" s="317"/>
      <c r="D6" s="417" t="s">
        <v>264</v>
      </c>
      <c r="E6" s="418"/>
      <c r="F6" s="418"/>
      <c r="G6" s="418"/>
      <c r="H6" s="419"/>
      <c r="K6" s="6" t="s">
        <v>13</v>
      </c>
      <c r="L6" s="9">
        <v>3</v>
      </c>
      <c r="O6" s="10" t="s">
        <v>262</v>
      </c>
      <c r="T6" s="103">
        <f t="shared" si="0"/>
        <v>1.6158382704461892E-6</v>
      </c>
    </row>
    <row r="7" spans="1:20" ht="13.35" customHeight="1" x14ac:dyDescent="0.2">
      <c r="B7" s="317" t="s">
        <v>309</v>
      </c>
      <c r="C7" s="317"/>
      <c r="D7" s="417" t="s">
        <v>255</v>
      </c>
      <c r="E7" s="418"/>
      <c r="F7" s="418"/>
      <c r="G7" s="418"/>
      <c r="H7" s="419"/>
      <c r="K7" s="6" t="s">
        <v>15</v>
      </c>
      <c r="L7" s="9">
        <v>1</v>
      </c>
      <c r="O7" s="10" t="s">
        <v>198</v>
      </c>
      <c r="T7" s="103" t="str">
        <f t="shared" si="0"/>
        <v/>
      </c>
    </row>
    <row r="8" spans="1:20" ht="13.35" customHeight="1" x14ac:dyDescent="0.2">
      <c r="B8" s="354" t="s">
        <v>12</v>
      </c>
      <c r="C8" s="355"/>
      <c r="D8" s="417" t="s">
        <v>346</v>
      </c>
      <c r="E8" s="418"/>
      <c r="F8" s="418"/>
      <c r="G8" s="418"/>
      <c r="H8" s="419"/>
      <c r="K8" s="6" t="s">
        <v>180</v>
      </c>
      <c r="L8" s="9">
        <v>4.1789947010347097</v>
      </c>
      <c r="O8" s="10" t="s">
        <v>225</v>
      </c>
      <c r="T8" s="103" t="str">
        <f t="shared" si="0"/>
        <v/>
      </c>
    </row>
    <row r="9" spans="1:20" ht="13.35" customHeight="1" x14ac:dyDescent="0.2">
      <c r="B9" s="354" t="s">
        <v>183</v>
      </c>
      <c r="C9" s="355"/>
      <c r="D9" s="453" t="s">
        <v>362</v>
      </c>
      <c r="E9" s="418"/>
      <c r="F9" s="418"/>
      <c r="G9" s="418"/>
      <c r="H9" s="419"/>
      <c r="K9" s="6" t="s">
        <v>17</v>
      </c>
      <c r="L9" s="9">
        <v>1.7320508075688772</v>
      </c>
      <c r="O9" s="10" t="s">
        <v>185</v>
      </c>
      <c r="T9" s="103" t="str">
        <f t="shared" si="0"/>
        <v/>
      </c>
    </row>
    <row r="10" spans="1:20" ht="12.75" customHeight="1" x14ac:dyDescent="0.2">
      <c r="B10" s="354" t="s">
        <v>184</v>
      </c>
      <c r="C10" s="355"/>
      <c r="D10" s="417"/>
      <c r="E10" s="418"/>
      <c r="F10" s="418"/>
      <c r="G10" s="418"/>
      <c r="H10" s="419"/>
      <c r="K10" s="6" t="s">
        <v>18</v>
      </c>
      <c r="L10" s="9">
        <v>3.4641016151377544</v>
      </c>
      <c r="O10" s="10" t="s">
        <v>217</v>
      </c>
      <c r="T10" s="103" t="str">
        <f t="shared" si="0"/>
        <v/>
      </c>
    </row>
    <row r="11" spans="1:20" ht="13.35" customHeight="1" x14ac:dyDescent="0.2">
      <c r="B11" s="354" t="s">
        <v>61</v>
      </c>
      <c r="C11" s="355"/>
      <c r="D11" s="452" t="s">
        <v>34</v>
      </c>
      <c r="E11" s="418"/>
      <c r="F11" s="418"/>
      <c r="G11" s="418"/>
      <c r="H11" s="419"/>
      <c r="K11" s="6" t="s">
        <v>19</v>
      </c>
      <c r="L11" s="9">
        <v>1</v>
      </c>
      <c r="O11" s="10" t="s">
        <v>218</v>
      </c>
      <c r="T11" s="103" t="str">
        <f t="shared" si="0"/>
        <v/>
      </c>
    </row>
    <row r="12" spans="1:20" ht="12.75" customHeight="1" x14ac:dyDescent="0.2">
      <c r="B12" s="354" t="s">
        <v>314</v>
      </c>
      <c r="C12" s="355"/>
      <c r="D12" s="417" t="s">
        <v>257</v>
      </c>
      <c r="E12" s="418"/>
      <c r="F12" s="418"/>
      <c r="G12" s="418"/>
      <c r="H12" s="419"/>
      <c r="K12" s="6" t="s">
        <v>20</v>
      </c>
      <c r="L12" s="9">
        <v>2.4494897427831779</v>
      </c>
      <c r="O12" s="10" t="s">
        <v>159</v>
      </c>
      <c r="T12" s="103" t="str">
        <f t="shared" si="0"/>
        <v/>
      </c>
    </row>
    <row r="13" spans="1:20" ht="42.6" customHeight="1" x14ac:dyDescent="0.2">
      <c r="B13" s="361" t="s">
        <v>136</v>
      </c>
      <c r="C13" s="362"/>
      <c r="D13" s="420"/>
      <c r="E13" s="421"/>
      <c r="F13" s="421"/>
      <c r="G13" s="421"/>
      <c r="H13" s="422"/>
      <c r="K13" s="6" t="s">
        <v>21</v>
      </c>
      <c r="L13" s="9">
        <v>1.4142135623730951</v>
      </c>
      <c r="T13" s="103" t="str">
        <f t="shared" si="0"/>
        <v/>
      </c>
    </row>
    <row r="14" spans="1:20" ht="15.6" customHeight="1" x14ac:dyDescent="0.2">
      <c r="B14" s="446" t="s">
        <v>22</v>
      </c>
      <c r="C14" s="446"/>
      <c r="D14" s="446"/>
      <c r="E14" s="446"/>
      <c r="F14" s="446"/>
      <c r="G14" s="446"/>
      <c r="H14" s="446"/>
      <c r="K14" s="6"/>
      <c r="L14" s="9"/>
      <c r="T14" s="103" t="str">
        <f t="shared" si="0"/>
        <v/>
      </c>
    </row>
    <row r="15" spans="1:20" ht="12.75" customHeight="1" x14ac:dyDescent="0.2">
      <c r="A15" s="102"/>
      <c r="B15" s="389" t="s">
        <v>23</v>
      </c>
      <c r="C15" s="390"/>
      <c r="D15" s="11" t="s">
        <v>24</v>
      </c>
      <c r="E15" s="11" t="s">
        <v>25</v>
      </c>
      <c r="F15" s="11" t="s">
        <v>26</v>
      </c>
      <c r="G15" s="11" t="s">
        <v>27</v>
      </c>
      <c r="H15" s="11" t="s">
        <v>28</v>
      </c>
      <c r="K15" s="6"/>
      <c r="L15" s="9"/>
      <c r="T15" s="103" t="str">
        <f t="shared" si="0"/>
        <v/>
      </c>
    </row>
    <row r="16" spans="1:20" ht="12.75" customHeight="1" x14ac:dyDescent="0.2">
      <c r="A16" s="102" t="s">
        <v>137</v>
      </c>
      <c r="B16" s="336" t="s">
        <v>29</v>
      </c>
      <c r="C16" s="337"/>
      <c r="D16" s="12" t="s">
        <v>30</v>
      </c>
      <c r="E16" s="12" t="s">
        <v>31</v>
      </c>
      <c r="F16" s="12" t="s">
        <v>32</v>
      </c>
      <c r="G16" s="12" t="s">
        <v>33</v>
      </c>
      <c r="H16" s="12" t="s">
        <v>26</v>
      </c>
      <c r="K16" s="6"/>
      <c r="T16" s="103" t="str">
        <f t="shared" si="0"/>
        <v/>
      </c>
    </row>
    <row r="17" spans="2:20" x14ac:dyDescent="0.2">
      <c r="B17" s="13">
        <v>1</v>
      </c>
      <c r="C17" s="132" t="s">
        <v>323</v>
      </c>
      <c r="D17" s="35">
        <v>0.15</v>
      </c>
      <c r="E17" s="4" t="s">
        <v>9</v>
      </c>
      <c r="F17" s="82" t="s">
        <v>10</v>
      </c>
      <c r="G17" s="83"/>
      <c r="H17" s="54">
        <f t="shared" ref="H17:H31" si="1">IF( ISNUMBER(D17), IF( ISERROR( ABS(D17/LOOKUP(E17,$K$1:$L$13)) ), ABS(D17), ABS(D17/LOOKUP(E17,$K$1:$L$13)) ), "")</f>
        <v>7.4999999999999997E-2</v>
      </c>
      <c r="I17" s="6" t="str">
        <f t="shared" ref="I17:I31" si="2">IF(ISERROR(H17^4/G17)," ",H17^4/G17)</f>
        <v xml:space="preserve"> </v>
      </c>
      <c r="K17" s="6"/>
      <c r="S17" s="101"/>
      <c r="T17" s="103" t="str">
        <f t="shared" si="0"/>
        <v/>
      </c>
    </row>
    <row r="18" spans="2:20" x14ac:dyDescent="0.2">
      <c r="B18" s="15">
        <v>2</v>
      </c>
      <c r="C18" s="132" t="s">
        <v>353</v>
      </c>
      <c r="D18" s="35">
        <v>1.2E-2</v>
      </c>
      <c r="E18" s="4" t="s">
        <v>17</v>
      </c>
      <c r="F18" s="82" t="s">
        <v>10</v>
      </c>
      <c r="G18" s="84"/>
      <c r="H18" s="54">
        <f t="shared" si="1"/>
        <v>6.9282032302755096E-3</v>
      </c>
      <c r="I18" s="6" t="str">
        <f t="shared" si="2"/>
        <v xml:space="preserve"> </v>
      </c>
      <c r="K18" s="6"/>
      <c r="L18" s="9"/>
      <c r="S18" s="101"/>
    </row>
    <row r="19" spans="2:20" x14ac:dyDescent="0.2">
      <c r="B19" s="15">
        <v>3</v>
      </c>
      <c r="C19" s="132" t="s">
        <v>306</v>
      </c>
      <c r="D19" s="37">
        <v>1E-4</v>
      </c>
      <c r="E19" s="4" t="s">
        <v>18</v>
      </c>
      <c r="F19" s="82" t="s">
        <v>10</v>
      </c>
      <c r="G19" s="84"/>
      <c r="H19" s="54">
        <f t="shared" si="1"/>
        <v>2.8867513459481293E-5</v>
      </c>
      <c r="I19" s="6" t="str">
        <f t="shared" si="2"/>
        <v xml:space="preserve"> </v>
      </c>
      <c r="K19" s="6"/>
      <c r="L19" s="9"/>
      <c r="S19" s="101"/>
      <c r="T19" s="113"/>
    </row>
    <row r="20" spans="2:20" x14ac:dyDescent="0.2">
      <c r="B20" s="15">
        <v>4</v>
      </c>
      <c r="C20" s="132" t="s">
        <v>307</v>
      </c>
      <c r="D20" s="35">
        <v>9.5742710775410675E-5</v>
      </c>
      <c r="E20" s="4" t="s">
        <v>19</v>
      </c>
      <c r="F20" s="82" t="s">
        <v>7</v>
      </c>
      <c r="G20" s="84">
        <v>3</v>
      </c>
      <c r="H20" s="54">
        <f t="shared" si="1"/>
        <v>9.5742710775410675E-5</v>
      </c>
      <c r="I20" s="6">
        <f t="shared" si="2"/>
        <v>2.8009259258998141E-17</v>
      </c>
      <c r="K20" s="6"/>
      <c r="S20" s="101"/>
      <c r="T20" s="113"/>
    </row>
    <row r="21" spans="2:20" x14ac:dyDescent="0.2">
      <c r="B21" s="15">
        <v>5</v>
      </c>
      <c r="C21" s="85"/>
      <c r="D21" s="35"/>
      <c r="E21" s="4"/>
      <c r="F21" s="82"/>
      <c r="G21" s="84"/>
      <c r="H21" s="54" t="str">
        <f t="shared" si="1"/>
        <v/>
      </c>
      <c r="I21" s="6" t="str">
        <f t="shared" si="2"/>
        <v xml:space="preserve"> </v>
      </c>
      <c r="K21" s="6"/>
      <c r="S21" s="101"/>
      <c r="T21" s="113"/>
    </row>
    <row r="22" spans="2:20" x14ac:dyDescent="0.2">
      <c r="B22" s="15">
        <v>6</v>
      </c>
      <c r="C22" s="81"/>
      <c r="D22" s="35"/>
      <c r="E22" s="4"/>
      <c r="F22" s="4"/>
      <c r="G22" s="20"/>
      <c r="H22" s="54" t="str">
        <f t="shared" si="1"/>
        <v/>
      </c>
      <c r="I22" s="6" t="str">
        <f t="shared" si="2"/>
        <v xml:space="preserve"> </v>
      </c>
      <c r="K22" s="6"/>
      <c r="S22" s="101"/>
      <c r="T22" s="113"/>
    </row>
    <row r="23" spans="2:20" x14ac:dyDescent="0.2">
      <c r="B23" s="15">
        <v>7</v>
      </c>
      <c r="C23" s="81"/>
      <c r="D23" s="35"/>
      <c r="E23" s="4"/>
      <c r="F23" s="4"/>
      <c r="G23" s="20"/>
      <c r="H23" s="54" t="str">
        <f t="shared" si="1"/>
        <v/>
      </c>
      <c r="I23" s="6" t="str">
        <f t="shared" si="2"/>
        <v xml:space="preserve"> </v>
      </c>
      <c r="K23" s="6"/>
      <c r="S23" s="101"/>
      <c r="T23" s="113"/>
    </row>
    <row r="24" spans="2:20" ht="15.6" customHeight="1" x14ac:dyDescent="0.2">
      <c r="B24" s="15">
        <v>8</v>
      </c>
      <c r="C24" s="81"/>
      <c r="D24" s="35"/>
      <c r="E24" s="4"/>
      <c r="F24" s="4"/>
      <c r="G24" s="20"/>
      <c r="H24" s="54" t="str">
        <f t="shared" si="1"/>
        <v/>
      </c>
      <c r="I24" s="6" t="str">
        <f t="shared" si="2"/>
        <v xml:space="preserve"> </v>
      </c>
      <c r="K24" s="6"/>
      <c r="S24" s="101"/>
      <c r="T24" s="113"/>
    </row>
    <row r="25" spans="2:20" ht="15.6" customHeight="1" x14ac:dyDescent="0.2">
      <c r="B25" s="15">
        <v>9</v>
      </c>
      <c r="C25" s="81"/>
      <c r="D25" s="35"/>
      <c r="E25" s="4"/>
      <c r="F25" s="4"/>
      <c r="G25" s="20"/>
      <c r="H25" s="54" t="str">
        <f t="shared" si="1"/>
        <v/>
      </c>
      <c r="I25" s="6" t="str">
        <f t="shared" si="2"/>
        <v xml:space="preserve"> </v>
      </c>
      <c r="K25" s="6"/>
      <c r="S25" s="101"/>
      <c r="T25" s="113"/>
    </row>
    <row r="26" spans="2:20" x14ac:dyDescent="0.2">
      <c r="B26" s="15">
        <v>10</v>
      </c>
      <c r="C26" s="81"/>
      <c r="D26" s="35"/>
      <c r="E26" s="4"/>
      <c r="F26" s="4"/>
      <c r="G26" s="20"/>
      <c r="H26" s="54" t="str">
        <f t="shared" si="1"/>
        <v/>
      </c>
      <c r="I26" s="6" t="str">
        <f t="shared" si="2"/>
        <v xml:space="preserve"> </v>
      </c>
      <c r="K26" s="6"/>
      <c r="S26" s="101"/>
      <c r="T26" s="113"/>
    </row>
    <row r="27" spans="2:20" x14ac:dyDescent="0.2">
      <c r="B27" s="15">
        <v>11</v>
      </c>
      <c r="C27" s="81"/>
      <c r="D27" s="35"/>
      <c r="E27" s="4"/>
      <c r="F27" s="4"/>
      <c r="G27" s="20"/>
      <c r="H27" s="54" t="str">
        <f t="shared" si="1"/>
        <v/>
      </c>
      <c r="I27" s="6" t="str">
        <f t="shared" si="2"/>
        <v xml:space="preserve"> </v>
      </c>
      <c r="K27" s="6"/>
      <c r="S27" s="101"/>
      <c r="T27" s="113"/>
    </row>
    <row r="28" spans="2:20" x14ac:dyDescent="0.2">
      <c r="B28" s="15">
        <v>12</v>
      </c>
      <c r="C28" s="81"/>
      <c r="D28" s="35"/>
      <c r="E28" s="4"/>
      <c r="F28" s="4"/>
      <c r="G28" s="20"/>
      <c r="H28" s="54" t="str">
        <f t="shared" si="1"/>
        <v/>
      </c>
      <c r="I28" s="6" t="str">
        <f t="shared" si="2"/>
        <v xml:space="preserve"> </v>
      </c>
      <c r="K28" s="6"/>
      <c r="S28" s="101"/>
      <c r="T28" s="113"/>
    </row>
    <row r="29" spans="2:20" ht="13.35" customHeight="1" x14ac:dyDescent="0.2">
      <c r="B29" s="15">
        <v>13</v>
      </c>
      <c r="C29" s="81"/>
      <c r="D29" s="35"/>
      <c r="E29" s="4"/>
      <c r="F29" s="4"/>
      <c r="G29" s="20"/>
      <c r="H29" s="54" t="str">
        <f t="shared" si="1"/>
        <v/>
      </c>
      <c r="I29" s="6" t="str">
        <f t="shared" si="2"/>
        <v xml:space="preserve"> </v>
      </c>
      <c r="K29" s="6"/>
      <c r="S29" s="101"/>
      <c r="T29" s="113"/>
    </row>
    <row r="30" spans="2:20" ht="13.35" customHeight="1" x14ac:dyDescent="0.2">
      <c r="B30" s="15">
        <v>14</v>
      </c>
      <c r="C30" s="81"/>
      <c r="D30" s="35"/>
      <c r="E30" s="4"/>
      <c r="F30" s="4"/>
      <c r="G30" s="20"/>
      <c r="H30" s="54" t="str">
        <f t="shared" si="1"/>
        <v/>
      </c>
      <c r="I30" s="6" t="str">
        <f t="shared" si="2"/>
        <v xml:space="preserve"> </v>
      </c>
      <c r="K30" s="6"/>
      <c r="S30" s="101"/>
      <c r="T30" s="113"/>
    </row>
    <row r="31" spans="2:20" ht="13.35" customHeight="1" x14ac:dyDescent="0.2">
      <c r="B31" s="15">
        <v>15</v>
      </c>
      <c r="C31" s="81"/>
      <c r="D31" s="35"/>
      <c r="E31" s="4"/>
      <c r="F31" s="4"/>
      <c r="G31" s="20"/>
      <c r="H31" s="54" t="str">
        <f t="shared" si="1"/>
        <v/>
      </c>
      <c r="I31" s="6" t="str">
        <f t="shared" si="2"/>
        <v xml:space="preserve"> </v>
      </c>
      <c r="K31" s="6"/>
      <c r="S31" s="101"/>
      <c r="T31" s="113"/>
    </row>
    <row r="32" spans="2:20" ht="24" customHeight="1" x14ac:dyDescent="0.2">
      <c r="B32" s="351" t="s">
        <v>178</v>
      </c>
      <c r="C32" s="352"/>
      <c r="D32" s="389"/>
      <c r="E32" s="447"/>
      <c r="F32" s="390"/>
      <c r="G32" s="449" t="s">
        <v>35</v>
      </c>
      <c r="H32" s="449"/>
      <c r="K32" s="6"/>
    </row>
    <row r="33" spans="2:15" ht="50.1" customHeight="1" thickBot="1" x14ac:dyDescent="0.25">
      <c r="B33" s="343" t="s">
        <v>368</v>
      </c>
      <c r="C33" s="344"/>
      <c r="D33" s="336"/>
      <c r="E33" s="448"/>
      <c r="F33" s="337"/>
      <c r="G33" s="450">
        <f>IF(ISERROR(SQRT(SUMSQ(H17:H31))), " ", SQRT(SUMSQ(H17:H31)))</f>
        <v>7.531938661460276E-2</v>
      </c>
      <c r="H33" s="451"/>
      <c r="I33" s="6">
        <f xml:space="preserve"> SUM(I17:I31)</f>
        <v>2.8009259258998141E-17</v>
      </c>
      <c r="K33" s="6"/>
    </row>
    <row r="34" spans="2:15" ht="24.75" customHeight="1" x14ac:dyDescent="0.2">
      <c r="B34" s="436" t="s">
        <v>36</v>
      </c>
      <c r="C34" s="436"/>
      <c r="D34" s="436"/>
      <c r="E34" s="437"/>
      <c r="F34" s="438"/>
      <c r="G34" s="438"/>
      <c r="H34" s="439"/>
      <c r="K34" s="6"/>
    </row>
    <row r="35" spans="2:15" ht="21.75" customHeight="1" x14ac:dyDescent="0.2">
      <c r="B35" s="347" t="s">
        <v>35</v>
      </c>
      <c r="C35" s="348"/>
      <c r="D35" s="174">
        <f xml:space="preserve"> G33</f>
        <v>7.531938661460276E-2</v>
      </c>
      <c r="E35" s="440"/>
      <c r="F35" s="441"/>
      <c r="G35" s="441"/>
      <c r="H35" s="442"/>
      <c r="K35" s="6"/>
      <c r="L35" s="6"/>
    </row>
    <row r="36" spans="2:15" ht="12.75" hidden="1" customHeight="1" x14ac:dyDescent="0.2">
      <c r="B36" s="349"/>
      <c r="C36" s="350"/>
      <c r="D36" s="18"/>
      <c r="E36" s="440"/>
      <c r="F36" s="441"/>
      <c r="G36" s="441"/>
      <c r="H36" s="442"/>
    </row>
    <row r="37" spans="2:15" ht="21.75" customHeight="1" x14ac:dyDescent="0.2">
      <c r="B37" s="347" t="s">
        <v>0</v>
      </c>
      <c r="C37" s="348"/>
      <c r="D37" s="284">
        <v>0.95</v>
      </c>
      <c r="E37" s="440"/>
      <c r="F37" s="441"/>
      <c r="G37" s="441"/>
      <c r="H37" s="442"/>
    </row>
    <row r="38" spans="2:15" ht="21.75" customHeight="1" x14ac:dyDescent="0.2">
      <c r="B38" s="347" t="s">
        <v>37</v>
      </c>
      <c r="C38" s="348"/>
      <c r="D38" s="21" t="str">
        <f>IF(O38,IF(ISERROR(D35^4/I33), " ", ROUNDDOWN(D35^4/I33,0)), " ")</f>
        <v xml:space="preserve"> </v>
      </c>
      <c r="E38" s="440"/>
      <c r="F38" s="441"/>
      <c r="G38" s="441"/>
      <c r="H38" s="442"/>
      <c r="O38" s="10" t="b">
        <v>0</v>
      </c>
    </row>
    <row r="39" spans="2:15" ht="21.75" customHeight="1" x14ac:dyDescent="0.2">
      <c r="B39" s="347" t="s">
        <v>38</v>
      </c>
      <c r="C39" s="348"/>
      <c r="D39" s="129">
        <f>IF(ISERROR(TINV(1 - D37,D38)), NORMSINV((1 + D37)/2), TINV(1 - D37,D38))</f>
        <v>1.9599639845400536</v>
      </c>
      <c r="E39" s="440"/>
      <c r="F39" s="441"/>
      <c r="G39" s="441"/>
      <c r="H39" s="442"/>
    </row>
    <row r="40" spans="2:15" ht="21.75" customHeight="1" x14ac:dyDescent="0.2">
      <c r="B40" s="347" t="s">
        <v>39</v>
      </c>
      <c r="C40" s="348"/>
      <c r="D40" s="175">
        <f>D35*D39</f>
        <v>0.1476232851022696</v>
      </c>
      <c r="E40" s="443"/>
      <c r="F40" s="444"/>
      <c r="G40" s="444"/>
      <c r="H40" s="445"/>
    </row>
    <row r="42" spans="2:15" ht="13.35" customHeight="1" x14ac:dyDescent="0.2"/>
    <row r="44" spans="2:15" ht="13.35" customHeight="1" x14ac:dyDescent="0.2"/>
  </sheetData>
  <sheetProtection sheet="1" objects="1" scenarios="1" formatCells="0" formatColumns="0" formatRows="0" sort="0" autoFilter="0"/>
  <mergeCells count="41">
    <mergeCell ref="B4:C4"/>
    <mergeCell ref="D4:H4"/>
    <mergeCell ref="B1:H1"/>
    <mergeCell ref="B2:C2"/>
    <mergeCell ref="D2:H2"/>
    <mergeCell ref="B3:C3"/>
    <mergeCell ref="D3:H3"/>
    <mergeCell ref="B5:C5"/>
    <mergeCell ref="D5:H5"/>
    <mergeCell ref="B6:C6"/>
    <mergeCell ref="D6:H6"/>
    <mergeCell ref="B7:C7"/>
    <mergeCell ref="D7:H7"/>
    <mergeCell ref="B8:C8"/>
    <mergeCell ref="D8:H8"/>
    <mergeCell ref="B9:C9"/>
    <mergeCell ref="D9:H9"/>
    <mergeCell ref="B10:C10"/>
    <mergeCell ref="D10:H10"/>
    <mergeCell ref="B11:C11"/>
    <mergeCell ref="D11:H11"/>
    <mergeCell ref="B12:C12"/>
    <mergeCell ref="D12:H12"/>
    <mergeCell ref="B13:C13"/>
    <mergeCell ref="D13:H13"/>
    <mergeCell ref="B14:H14"/>
    <mergeCell ref="B15:C15"/>
    <mergeCell ref="B16:C16"/>
    <mergeCell ref="B32:C32"/>
    <mergeCell ref="D32:F33"/>
    <mergeCell ref="G32:H32"/>
    <mergeCell ref="B33:C33"/>
    <mergeCell ref="G33:H33"/>
    <mergeCell ref="B34:D34"/>
    <mergeCell ref="E34:H40"/>
    <mergeCell ref="B35:C35"/>
    <mergeCell ref="B36:C36"/>
    <mergeCell ref="B37:C37"/>
    <mergeCell ref="B38:C38"/>
    <mergeCell ref="B39:C39"/>
    <mergeCell ref="B40:C40"/>
  </mergeCells>
  <dataValidations count="4">
    <dataValidation type="list" showInputMessage="1" showErrorMessage="1" sqref="WVJ983057:WVJ983071 IX17:IX33 WLN983057:WLN983071 WBR983057:WBR983071 VRV983057:VRV983071 VHZ983057:VHZ983071 UYD983057:UYD983071 UOH983057:UOH983071 UEL983057:UEL983071 TUP983057:TUP983071 TKT983057:TKT983071 TAX983057:TAX983071 SRB983057:SRB983071 SHF983057:SHF983071 RXJ983057:RXJ983071 RNN983057:RNN983071 RDR983057:RDR983071 QTV983057:QTV983071 QJZ983057:QJZ983071 QAD983057:QAD983071 PQH983057:PQH983071 PGL983057:PGL983071 OWP983057:OWP983071 OMT983057:OMT983071 OCX983057:OCX983071 NTB983057:NTB983071 NJF983057:NJF983071 MZJ983057:MZJ983071 MPN983057:MPN983071 MFR983057:MFR983071 LVV983057:LVV983071 LLZ983057:LLZ983071 LCD983057:LCD983071 KSH983057:KSH983071 KIL983057:KIL983071 JYP983057:JYP983071 JOT983057:JOT983071 JEX983057:JEX983071 IVB983057:IVB983071 ILF983057:ILF983071 IBJ983057:IBJ983071 HRN983057:HRN983071 HHR983057:HHR983071 GXV983057:GXV983071 GNZ983057:GNZ983071 GED983057:GED983071 FUH983057:FUH983071 FKL983057:FKL983071 FAP983057:FAP983071 EQT983057:EQT983071 EGX983057:EGX983071 DXB983057:DXB983071 DNF983057:DNF983071 DDJ983057:DDJ983071 CTN983057:CTN983071 CJR983057:CJR983071 BZV983057:BZV983071 BPZ983057:BPZ983071 BGD983057:BGD983071 AWH983057:AWH983071 AML983057:AML983071 ACP983057:ACP983071 ST983057:ST983071 IX983057:IX983071 E983057:E983071 WVJ917521:WVJ917535 WLN917521:WLN917535 WBR917521:WBR917535 VRV917521:VRV917535 VHZ917521:VHZ917535 UYD917521:UYD917535 UOH917521:UOH917535 UEL917521:UEL917535 TUP917521:TUP917535 TKT917521:TKT917535 TAX917521:TAX917535 SRB917521:SRB917535 SHF917521:SHF917535 RXJ917521:RXJ917535 RNN917521:RNN917535 RDR917521:RDR917535 QTV917521:QTV917535 QJZ917521:QJZ917535 QAD917521:QAD917535 PQH917521:PQH917535 PGL917521:PGL917535 OWP917521:OWP917535 OMT917521:OMT917535 OCX917521:OCX917535 NTB917521:NTB917535 NJF917521:NJF917535 MZJ917521:MZJ917535 MPN917521:MPN917535 MFR917521:MFR917535 LVV917521:LVV917535 LLZ917521:LLZ917535 LCD917521:LCD917535 KSH917521:KSH917535 KIL917521:KIL917535 JYP917521:JYP917535 JOT917521:JOT917535 JEX917521:JEX917535 IVB917521:IVB917535 ILF917521:ILF917535 IBJ917521:IBJ917535 HRN917521:HRN917535 HHR917521:HHR917535 GXV917521:GXV917535 GNZ917521:GNZ917535 GED917521:GED917535 FUH917521:FUH917535 FKL917521:FKL917535 FAP917521:FAP917535 EQT917521:EQT917535 EGX917521:EGX917535 DXB917521:DXB917535 DNF917521:DNF917535 DDJ917521:DDJ917535 CTN917521:CTN917535 CJR917521:CJR917535 BZV917521:BZV917535 BPZ917521:BPZ917535 BGD917521:BGD917535 AWH917521:AWH917535 AML917521:AML917535 ACP917521:ACP917535 ST917521:ST917535 IX917521:IX917535 E917521:E917535 WVJ851985:WVJ851999 WLN851985:WLN851999 WBR851985:WBR851999 VRV851985:VRV851999 VHZ851985:VHZ851999 UYD851985:UYD851999 UOH851985:UOH851999 UEL851985:UEL851999 TUP851985:TUP851999 TKT851985:TKT851999 TAX851985:TAX851999 SRB851985:SRB851999 SHF851985:SHF851999 RXJ851985:RXJ851999 RNN851985:RNN851999 RDR851985:RDR851999 QTV851985:QTV851999 QJZ851985:QJZ851999 QAD851985:QAD851999 PQH851985:PQH851999 PGL851985:PGL851999 OWP851985:OWP851999 OMT851985:OMT851999 OCX851985:OCX851999 NTB851985:NTB851999 NJF851985:NJF851999 MZJ851985:MZJ851999 MPN851985:MPN851999 MFR851985:MFR851999 LVV851985:LVV851999 LLZ851985:LLZ851999 LCD851985:LCD851999 KSH851985:KSH851999 KIL851985:KIL851999 JYP851985:JYP851999 JOT851985:JOT851999 JEX851985:JEX851999 IVB851985:IVB851999 ILF851985:ILF851999 IBJ851985:IBJ851999 HRN851985:HRN851999 HHR851985:HHR851999 GXV851985:GXV851999 GNZ851985:GNZ851999 GED851985:GED851999 FUH851985:FUH851999 FKL851985:FKL851999 FAP851985:FAP851999 EQT851985:EQT851999 EGX851985:EGX851999 DXB851985:DXB851999 DNF851985:DNF851999 DDJ851985:DDJ851999 CTN851985:CTN851999 CJR851985:CJR851999 BZV851985:BZV851999 BPZ851985:BPZ851999 BGD851985:BGD851999 AWH851985:AWH851999 AML851985:AML851999 ACP851985:ACP851999 ST851985:ST851999 IX851985:IX851999 E851985:E851999 WVJ786449:WVJ786463 WLN786449:WLN786463 WBR786449:WBR786463 VRV786449:VRV786463 VHZ786449:VHZ786463 UYD786449:UYD786463 UOH786449:UOH786463 UEL786449:UEL786463 TUP786449:TUP786463 TKT786449:TKT786463 TAX786449:TAX786463 SRB786449:SRB786463 SHF786449:SHF786463 RXJ786449:RXJ786463 RNN786449:RNN786463 RDR786449:RDR786463 QTV786449:QTV786463 QJZ786449:QJZ786463 QAD786449:QAD786463 PQH786449:PQH786463 PGL786449:PGL786463 OWP786449:OWP786463 OMT786449:OMT786463 OCX786449:OCX786463 NTB786449:NTB786463 NJF786449:NJF786463 MZJ786449:MZJ786463 MPN786449:MPN786463 MFR786449:MFR786463 LVV786449:LVV786463 LLZ786449:LLZ786463 LCD786449:LCD786463 KSH786449:KSH786463 KIL786449:KIL786463 JYP786449:JYP786463 JOT786449:JOT786463 JEX786449:JEX786463 IVB786449:IVB786463 ILF786449:ILF786463 IBJ786449:IBJ786463 HRN786449:HRN786463 HHR786449:HHR786463 GXV786449:GXV786463 GNZ786449:GNZ786463 GED786449:GED786463 FUH786449:FUH786463 FKL786449:FKL786463 FAP786449:FAP786463 EQT786449:EQT786463 EGX786449:EGX786463 DXB786449:DXB786463 DNF786449:DNF786463 DDJ786449:DDJ786463 CTN786449:CTN786463 CJR786449:CJR786463 BZV786449:BZV786463 BPZ786449:BPZ786463 BGD786449:BGD786463 AWH786449:AWH786463 AML786449:AML786463 ACP786449:ACP786463 ST786449:ST786463 IX786449:IX786463 E786449:E786463 WVJ720913:WVJ720927 WLN720913:WLN720927 WBR720913:WBR720927 VRV720913:VRV720927 VHZ720913:VHZ720927 UYD720913:UYD720927 UOH720913:UOH720927 UEL720913:UEL720927 TUP720913:TUP720927 TKT720913:TKT720927 TAX720913:TAX720927 SRB720913:SRB720927 SHF720913:SHF720927 RXJ720913:RXJ720927 RNN720913:RNN720927 RDR720913:RDR720927 QTV720913:QTV720927 QJZ720913:QJZ720927 QAD720913:QAD720927 PQH720913:PQH720927 PGL720913:PGL720927 OWP720913:OWP720927 OMT720913:OMT720927 OCX720913:OCX720927 NTB720913:NTB720927 NJF720913:NJF720927 MZJ720913:MZJ720927 MPN720913:MPN720927 MFR720913:MFR720927 LVV720913:LVV720927 LLZ720913:LLZ720927 LCD720913:LCD720927 KSH720913:KSH720927 KIL720913:KIL720927 JYP720913:JYP720927 JOT720913:JOT720927 JEX720913:JEX720927 IVB720913:IVB720927 ILF720913:ILF720927 IBJ720913:IBJ720927 HRN720913:HRN720927 HHR720913:HHR720927 GXV720913:GXV720927 GNZ720913:GNZ720927 GED720913:GED720927 FUH720913:FUH720927 FKL720913:FKL720927 FAP720913:FAP720927 EQT720913:EQT720927 EGX720913:EGX720927 DXB720913:DXB720927 DNF720913:DNF720927 DDJ720913:DDJ720927 CTN720913:CTN720927 CJR720913:CJR720927 BZV720913:BZV720927 BPZ720913:BPZ720927 BGD720913:BGD720927 AWH720913:AWH720927 AML720913:AML720927 ACP720913:ACP720927 ST720913:ST720927 IX720913:IX720927 E720913:E720927 WVJ655377:WVJ655391 WLN655377:WLN655391 WBR655377:WBR655391 VRV655377:VRV655391 VHZ655377:VHZ655391 UYD655377:UYD655391 UOH655377:UOH655391 UEL655377:UEL655391 TUP655377:TUP655391 TKT655377:TKT655391 TAX655377:TAX655391 SRB655377:SRB655391 SHF655377:SHF655391 RXJ655377:RXJ655391 RNN655377:RNN655391 RDR655377:RDR655391 QTV655377:QTV655391 QJZ655377:QJZ655391 QAD655377:QAD655391 PQH655377:PQH655391 PGL655377:PGL655391 OWP655377:OWP655391 OMT655377:OMT655391 OCX655377:OCX655391 NTB655377:NTB655391 NJF655377:NJF655391 MZJ655377:MZJ655391 MPN655377:MPN655391 MFR655377:MFR655391 LVV655377:LVV655391 LLZ655377:LLZ655391 LCD655377:LCD655391 KSH655377:KSH655391 KIL655377:KIL655391 JYP655377:JYP655391 JOT655377:JOT655391 JEX655377:JEX655391 IVB655377:IVB655391 ILF655377:ILF655391 IBJ655377:IBJ655391 HRN655377:HRN655391 HHR655377:HHR655391 GXV655377:GXV655391 GNZ655377:GNZ655391 GED655377:GED655391 FUH655377:FUH655391 FKL655377:FKL655391 FAP655377:FAP655391 EQT655377:EQT655391 EGX655377:EGX655391 DXB655377:DXB655391 DNF655377:DNF655391 DDJ655377:DDJ655391 CTN655377:CTN655391 CJR655377:CJR655391 BZV655377:BZV655391 BPZ655377:BPZ655391 BGD655377:BGD655391 AWH655377:AWH655391 AML655377:AML655391 ACP655377:ACP655391 ST655377:ST655391 IX655377:IX655391 E655377:E655391 WVJ589841:WVJ589855 WLN589841:WLN589855 WBR589841:WBR589855 VRV589841:VRV589855 VHZ589841:VHZ589855 UYD589841:UYD589855 UOH589841:UOH589855 UEL589841:UEL589855 TUP589841:TUP589855 TKT589841:TKT589855 TAX589841:TAX589855 SRB589841:SRB589855 SHF589841:SHF589855 RXJ589841:RXJ589855 RNN589841:RNN589855 RDR589841:RDR589855 QTV589841:QTV589855 QJZ589841:QJZ589855 QAD589841:QAD589855 PQH589841:PQH589855 PGL589841:PGL589855 OWP589841:OWP589855 OMT589841:OMT589855 OCX589841:OCX589855 NTB589841:NTB589855 NJF589841:NJF589855 MZJ589841:MZJ589855 MPN589841:MPN589855 MFR589841:MFR589855 LVV589841:LVV589855 LLZ589841:LLZ589855 LCD589841:LCD589855 KSH589841:KSH589855 KIL589841:KIL589855 JYP589841:JYP589855 JOT589841:JOT589855 JEX589841:JEX589855 IVB589841:IVB589855 ILF589841:ILF589855 IBJ589841:IBJ589855 HRN589841:HRN589855 HHR589841:HHR589855 GXV589841:GXV589855 GNZ589841:GNZ589855 GED589841:GED589855 FUH589841:FUH589855 FKL589841:FKL589855 FAP589841:FAP589855 EQT589841:EQT589855 EGX589841:EGX589855 DXB589841:DXB589855 DNF589841:DNF589855 DDJ589841:DDJ589855 CTN589841:CTN589855 CJR589841:CJR589855 BZV589841:BZV589855 BPZ589841:BPZ589855 BGD589841:BGD589855 AWH589841:AWH589855 AML589841:AML589855 ACP589841:ACP589855 ST589841:ST589855 IX589841:IX589855 E589841:E589855 WVJ524305:WVJ524319 WLN524305:WLN524319 WBR524305:WBR524319 VRV524305:VRV524319 VHZ524305:VHZ524319 UYD524305:UYD524319 UOH524305:UOH524319 UEL524305:UEL524319 TUP524305:TUP524319 TKT524305:TKT524319 TAX524305:TAX524319 SRB524305:SRB524319 SHF524305:SHF524319 RXJ524305:RXJ524319 RNN524305:RNN524319 RDR524305:RDR524319 QTV524305:QTV524319 QJZ524305:QJZ524319 QAD524305:QAD524319 PQH524305:PQH524319 PGL524305:PGL524319 OWP524305:OWP524319 OMT524305:OMT524319 OCX524305:OCX524319 NTB524305:NTB524319 NJF524305:NJF524319 MZJ524305:MZJ524319 MPN524305:MPN524319 MFR524305:MFR524319 LVV524305:LVV524319 LLZ524305:LLZ524319 LCD524305:LCD524319 KSH524305:KSH524319 KIL524305:KIL524319 JYP524305:JYP524319 JOT524305:JOT524319 JEX524305:JEX524319 IVB524305:IVB524319 ILF524305:ILF524319 IBJ524305:IBJ524319 HRN524305:HRN524319 HHR524305:HHR524319 GXV524305:GXV524319 GNZ524305:GNZ524319 GED524305:GED524319 FUH524305:FUH524319 FKL524305:FKL524319 FAP524305:FAP524319 EQT524305:EQT524319 EGX524305:EGX524319 DXB524305:DXB524319 DNF524305:DNF524319 DDJ524305:DDJ524319 CTN524305:CTN524319 CJR524305:CJR524319 BZV524305:BZV524319 BPZ524305:BPZ524319 BGD524305:BGD524319 AWH524305:AWH524319 AML524305:AML524319 ACP524305:ACP524319 ST524305:ST524319 IX524305:IX524319 E524305:E524319 WVJ458769:WVJ458783 WLN458769:WLN458783 WBR458769:WBR458783 VRV458769:VRV458783 VHZ458769:VHZ458783 UYD458769:UYD458783 UOH458769:UOH458783 UEL458769:UEL458783 TUP458769:TUP458783 TKT458769:TKT458783 TAX458769:TAX458783 SRB458769:SRB458783 SHF458769:SHF458783 RXJ458769:RXJ458783 RNN458769:RNN458783 RDR458769:RDR458783 QTV458769:QTV458783 QJZ458769:QJZ458783 QAD458769:QAD458783 PQH458769:PQH458783 PGL458769:PGL458783 OWP458769:OWP458783 OMT458769:OMT458783 OCX458769:OCX458783 NTB458769:NTB458783 NJF458769:NJF458783 MZJ458769:MZJ458783 MPN458769:MPN458783 MFR458769:MFR458783 LVV458769:LVV458783 LLZ458769:LLZ458783 LCD458769:LCD458783 KSH458769:KSH458783 KIL458769:KIL458783 JYP458769:JYP458783 JOT458769:JOT458783 JEX458769:JEX458783 IVB458769:IVB458783 ILF458769:ILF458783 IBJ458769:IBJ458783 HRN458769:HRN458783 HHR458769:HHR458783 GXV458769:GXV458783 GNZ458769:GNZ458783 GED458769:GED458783 FUH458769:FUH458783 FKL458769:FKL458783 FAP458769:FAP458783 EQT458769:EQT458783 EGX458769:EGX458783 DXB458769:DXB458783 DNF458769:DNF458783 DDJ458769:DDJ458783 CTN458769:CTN458783 CJR458769:CJR458783 BZV458769:BZV458783 BPZ458769:BPZ458783 BGD458769:BGD458783 AWH458769:AWH458783 AML458769:AML458783 ACP458769:ACP458783 ST458769:ST458783 IX458769:IX458783 E458769:E458783 WVJ393233:WVJ393247 WLN393233:WLN393247 WBR393233:WBR393247 VRV393233:VRV393247 VHZ393233:VHZ393247 UYD393233:UYD393247 UOH393233:UOH393247 UEL393233:UEL393247 TUP393233:TUP393247 TKT393233:TKT393247 TAX393233:TAX393247 SRB393233:SRB393247 SHF393233:SHF393247 RXJ393233:RXJ393247 RNN393233:RNN393247 RDR393233:RDR393247 QTV393233:QTV393247 QJZ393233:QJZ393247 QAD393233:QAD393247 PQH393233:PQH393247 PGL393233:PGL393247 OWP393233:OWP393247 OMT393233:OMT393247 OCX393233:OCX393247 NTB393233:NTB393247 NJF393233:NJF393247 MZJ393233:MZJ393247 MPN393233:MPN393247 MFR393233:MFR393247 LVV393233:LVV393247 LLZ393233:LLZ393247 LCD393233:LCD393247 KSH393233:KSH393247 KIL393233:KIL393247 JYP393233:JYP393247 JOT393233:JOT393247 JEX393233:JEX393247 IVB393233:IVB393247 ILF393233:ILF393247 IBJ393233:IBJ393247 HRN393233:HRN393247 HHR393233:HHR393247 GXV393233:GXV393247 GNZ393233:GNZ393247 GED393233:GED393247 FUH393233:FUH393247 FKL393233:FKL393247 FAP393233:FAP393247 EQT393233:EQT393247 EGX393233:EGX393247 DXB393233:DXB393247 DNF393233:DNF393247 DDJ393233:DDJ393247 CTN393233:CTN393247 CJR393233:CJR393247 BZV393233:BZV393247 BPZ393233:BPZ393247 BGD393233:BGD393247 AWH393233:AWH393247 AML393233:AML393247 ACP393233:ACP393247 ST393233:ST393247 IX393233:IX393247 E393233:E393247 WVJ327697:WVJ327711 WLN327697:WLN327711 WBR327697:WBR327711 VRV327697:VRV327711 VHZ327697:VHZ327711 UYD327697:UYD327711 UOH327697:UOH327711 UEL327697:UEL327711 TUP327697:TUP327711 TKT327697:TKT327711 TAX327697:TAX327711 SRB327697:SRB327711 SHF327697:SHF327711 RXJ327697:RXJ327711 RNN327697:RNN327711 RDR327697:RDR327711 QTV327697:QTV327711 QJZ327697:QJZ327711 QAD327697:QAD327711 PQH327697:PQH327711 PGL327697:PGL327711 OWP327697:OWP327711 OMT327697:OMT327711 OCX327697:OCX327711 NTB327697:NTB327711 NJF327697:NJF327711 MZJ327697:MZJ327711 MPN327697:MPN327711 MFR327697:MFR327711 LVV327697:LVV327711 LLZ327697:LLZ327711 LCD327697:LCD327711 KSH327697:KSH327711 KIL327697:KIL327711 JYP327697:JYP327711 JOT327697:JOT327711 JEX327697:JEX327711 IVB327697:IVB327711 ILF327697:ILF327711 IBJ327697:IBJ327711 HRN327697:HRN327711 HHR327697:HHR327711 GXV327697:GXV327711 GNZ327697:GNZ327711 GED327697:GED327711 FUH327697:FUH327711 FKL327697:FKL327711 FAP327697:FAP327711 EQT327697:EQT327711 EGX327697:EGX327711 DXB327697:DXB327711 DNF327697:DNF327711 DDJ327697:DDJ327711 CTN327697:CTN327711 CJR327697:CJR327711 BZV327697:BZV327711 BPZ327697:BPZ327711 BGD327697:BGD327711 AWH327697:AWH327711 AML327697:AML327711 ACP327697:ACP327711 ST327697:ST327711 IX327697:IX327711 E327697:E327711 WVJ262161:WVJ262175 WLN262161:WLN262175 WBR262161:WBR262175 VRV262161:VRV262175 VHZ262161:VHZ262175 UYD262161:UYD262175 UOH262161:UOH262175 UEL262161:UEL262175 TUP262161:TUP262175 TKT262161:TKT262175 TAX262161:TAX262175 SRB262161:SRB262175 SHF262161:SHF262175 RXJ262161:RXJ262175 RNN262161:RNN262175 RDR262161:RDR262175 QTV262161:QTV262175 QJZ262161:QJZ262175 QAD262161:QAD262175 PQH262161:PQH262175 PGL262161:PGL262175 OWP262161:OWP262175 OMT262161:OMT262175 OCX262161:OCX262175 NTB262161:NTB262175 NJF262161:NJF262175 MZJ262161:MZJ262175 MPN262161:MPN262175 MFR262161:MFR262175 LVV262161:LVV262175 LLZ262161:LLZ262175 LCD262161:LCD262175 KSH262161:KSH262175 KIL262161:KIL262175 JYP262161:JYP262175 JOT262161:JOT262175 JEX262161:JEX262175 IVB262161:IVB262175 ILF262161:ILF262175 IBJ262161:IBJ262175 HRN262161:HRN262175 HHR262161:HHR262175 GXV262161:GXV262175 GNZ262161:GNZ262175 GED262161:GED262175 FUH262161:FUH262175 FKL262161:FKL262175 FAP262161:FAP262175 EQT262161:EQT262175 EGX262161:EGX262175 DXB262161:DXB262175 DNF262161:DNF262175 DDJ262161:DDJ262175 CTN262161:CTN262175 CJR262161:CJR262175 BZV262161:BZV262175 BPZ262161:BPZ262175 BGD262161:BGD262175 AWH262161:AWH262175 AML262161:AML262175 ACP262161:ACP262175 ST262161:ST262175 IX262161:IX262175 E262161:E262175 WVJ196625:WVJ196639 WLN196625:WLN196639 WBR196625:WBR196639 VRV196625:VRV196639 VHZ196625:VHZ196639 UYD196625:UYD196639 UOH196625:UOH196639 UEL196625:UEL196639 TUP196625:TUP196639 TKT196625:TKT196639 TAX196625:TAX196639 SRB196625:SRB196639 SHF196625:SHF196639 RXJ196625:RXJ196639 RNN196625:RNN196639 RDR196625:RDR196639 QTV196625:QTV196639 QJZ196625:QJZ196639 QAD196625:QAD196639 PQH196625:PQH196639 PGL196625:PGL196639 OWP196625:OWP196639 OMT196625:OMT196639 OCX196625:OCX196639 NTB196625:NTB196639 NJF196625:NJF196639 MZJ196625:MZJ196639 MPN196625:MPN196639 MFR196625:MFR196639 LVV196625:LVV196639 LLZ196625:LLZ196639 LCD196625:LCD196639 KSH196625:KSH196639 KIL196625:KIL196639 JYP196625:JYP196639 JOT196625:JOT196639 JEX196625:JEX196639 IVB196625:IVB196639 ILF196625:ILF196639 IBJ196625:IBJ196639 HRN196625:HRN196639 HHR196625:HHR196639 GXV196625:GXV196639 GNZ196625:GNZ196639 GED196625:GED196639 FUH196625:FUH196639 FKL196625:FKL196639 FAP196625:FAP196639 EQT196625:EQT196639 EGX196625:EGX196639 DXB196625:DXB196639 DNF196625:DNF196639 DDJ196625:DDJ196639 CTN196625:CTN196639 CJR196625:CJR196639 BZV196625:BZV196639 BPZ196625:BPZ196639 BGD196625:BGD196639 AWH196625:AWH196639 AML196625:AML196639 ACP196625:ACP196639 ST196625:ST196639 IX196625:IX196639 E196625:E196639 WVJ131089:WVJ131103 WLN131089:WLN131103 WBR131089:WBR131103 VRV131089:VRV131103 VHZ131089:VHZ131103 UYD131089:UYD131103 UOH131089:UOH131103 UEL131089:UEL131103 TUP131089:TUP131103 TKT131089:TKT131103 TAX131089:TAX131103 SRB131089:SRB131103 SHF131089:SHF131103 RXJ131089:RXJ131103 RNN131089:RNN131103 RDR131089:RDR131103 QTV131089:QTV131103 QJZ131089:QJZ131103 QAD131089:QAD131103 PQH131089:PQH131103 PGL131089:PGL131103 OWP131089:OWP131103 OMT131089:OMT131103 OCX131089:OCX131103 NTB131089:NTB131103 NJF131089:NJF131103 MZJ131089:MZJ131103 MPN131089:MPN131103 MFR131089:MFR131103 LVV131089:LVV131103 LLZ131089:LLZ131103 LCD131089:LCD131103 KSH131089:KSH131103 KIL131089:KIL131103 JYP131089:JYP131103 JOT131089:JOT131103 JEX131089:JEX131103 IVB131089:IVB131103 ILF131089:ILF131103 IBJ131089:IBJ131103 HRN131089:HRN131103 HHR131089:HHR131103 GXV131089:GXV131103 GNZ131089:GNZ131103 GED131089:GED131103 FUH131089:FUH131103 FKL131089:FKL131103 FAP131089:FAP131103 EQT131089:EQT131103 EGX131089:EGX131103 DXB131089:DXB131103 DNF131089:DNF131103 DDJ131089:DDJ131103 CTN131089:CTN131103 CJR131089:CJR131103 BZV131089:BZV131103 BPZ131089:BPZ131103 BGD131089:BGD131103 AWH131089:AWH131103 AML131089:AML131103 ACP131089:ACP131103 ST131089:ST131103 IX131089:IX131103 E131089:E131103 WVJ65553:WVJ65567 WLN65553:WLN65567 WBR65553:WBR65567 VRV65553:VRV65567 VHZ65553:VHZ65567 UYD65553:UYD65567 UOH65553:UOH65567 UEL65553:UEL65567 TUP65553:TUP65567 TKT65553:TKT65567 TAX65553:TAX65567 SRB65553:SRB65567 SHF65553:SHF65567 RXJ65553:RXJ65567 RNN65553:RNN65567 RDR65553:RDR65567 QTV65553:QTV65567 QJZ65553:QJZ65567 QAD65553:QAD65567 PQH65553:PQH65567 PGL65553:PGL65567 OWP65553:OWP65567 OMT65553:OMT65567 OCX65553:OCX65567 NTB65553:NTB65567 NJF65553:NJF65567 MZJ65553:MZJ65567 MPN65553:MPN65567 MFR65553:MFR65567 LVV65553:LVV65567 LLZ65553:LLZ65567 LCD65553:LCD65567 KSH65553:KSH65567 KIL65553:KIL65567 JYP65553:JYP65567 JOT65553:JOT65567 JEX65553:JEX65567 IVB65553:IVB65567 ILF65553:ILF65567 IBJ65553:IBJ65567 HRN65553:HRN65567 HHR65553:HHR65567 GXV65553:GXV65567 GNZ65553:GNZ65567 GED65553:GED65567 FUH65553:FUH65567 FKL65553:FKL65567 FAP65553:FAP65567 EQT65553:EQT65567 EGX65553:EGX65567 DXB65553:DXB65567 DNF65553:DNF65567 DDJ65553:DDJ65567 CTN65553:CTN65567 CJR65553:CJR65567 BZV65553:BZV65567 BPZ65553:BPZ65567 BGD65553:BGD65567 AWH65553:AWH65567 AML65553:AML65567 ACP65553:ACP65567 ST65553:ST65567 IX65553:IX65567 E65553:E65567 WVJ17:WVJ33 WLN17:WLN33 WBR17:WBR33 VRV17:VRV33 VHZ17:VHZ33 UYD17:UYD33 UOH17:UOH33 UEL17:UEL33 TUP17:TUP33 TKT17:TKT33 TAX17:TAX33 SRB17:SRB33 SHF17:SHF33 RXJ17:RXJ33 RNN17:RNN33 RDR17:RDR33 QTV17:QTV33 QJZ17:QJZ33 QAD17:QAD33 PQH17:PQH33 PGL17:PGL33 OWP17:OWP33 OMT17:OMT33 OCX17:OCX33 NTB17:NTB33 NJF17:NJF33 MZJ17:MZJ33 MPN17:MPN33 MFR17:MFR33 LVV17:LVV33 LLZ17:LLZ33 LCD17:LCD33 KSH17:KSH33 KIL17:KIL33 JYP17:JYP33 JOT17:JOT33 JEX17:JEX33 IVB17:IVB33 ILF17:ILF33 IBJ17:IBJ33 HRN17:HRN33 HHR17:HHR33 GXV17:GXV33 GNZ17:GNZ33 GED17:GED33 FUH17:FUH33 FKL17:FKL33 FAP17:FAP33 EQT17:EQT33 EGX17:EGX33 DXB17:DXB33 DNF17:DNF33 DDJ17:DDJ33 CTN17:CTN33 CJR17:CJR33 BZV17:BZV33 BPZ17:BPZ33 BGD17:BGD33 AWH17:AWH33 AML17:AML33 ACP17:ACP33 ST17:ST33" xr:uid="{00000000-0002-0000-0D00-000000000000}">
      <formula1>$K$1:$K$14</formula1>
    </dataValidation>
    <dataValidation type="list" showInputMessage="1" showErrorMessage="1" sqref="F17:F31" xr:uid="{00000000-0002-0000-0D00-000001000000}">
      <formula1 xml:space="preserve"> UncType</formula1>
    </dataValidation>
    <dataValidation type="list" showInputMessage="1" showErrorMessage="1" sqref="E17:E31" xr:uid="{00000000-0002-0000-0D00-000002000000}">
      <formula1 xml:space="preserve"> ErrorDist</formula1>
    </dataValidation>
    <dataValidation type="list" showInputMessage="1" showErrorMessage="1" sqref="WVK983057:WVK983071 SU17:SU33 ACQ17:ACQ33 AMM17:AMM33 AWI17:AWI33 BGE17:BGE33 BQA17:BQA33 BZW17:BZW33 CJS17:CJS33 CTO17:CTO33 DDK17:DDK33 DNG17:DNG33 DXC17:DXC33 EGY17:EGY33 EQU17:EQU33 FAQ17:FAQ33 FKM17:FKM33 FUI17:FUI33 GEE17:GEE33 GOA17:GOA33 GXW17:GXW33 HHS17:HHS33 HRO17:HRO33 IBK17:IBK33 ILG17:ILG33 IVC17:IVC33 JEY17:JEY33 JOU17:JOU33 JYQ17:JYQ33 KIM17:KIM33 KSI17:KSI33 LCE17:LCE33 LMA17:LMA33 LVW17:LVW33 MFS17:MFS33 MPO17:MPO33 MZK17:MZK33 NJG17:NJG33 NTC17:NTC33 OCY17:OCY33 OMU17:OMU33 OWQ17:OWQ33 PGM17:PGM33 PQI17:PQI33 QAE17:QAE33 QKA17:QKA33 QTW17:QTW33 RDS17:RDS33 RNO17:RNO33 RXK17:RXK33 SHG17:SHG33 SRC17:SRC33 TAY17:TAY33 TKU17:TKU33 TUQ17:TUQ33 UEM17:UEM33 UOI17:UOI33 UYE17:UYE33 VIA17:VIA33 VRW17:VRW33 WBS17:WBS33 WLO17:WLO33 WVK17:WVK33 F65553:F65567 IY65553:IY65567 SU65553:SU65567 ACQ65553:ACQ65567 AMM65553:AMM65567 AWI65553:AWI65567 BGE65553:BGE65567 BQA65553:BQA65567 BZW65553:BZW65567 CJS65553:CJS65567 CTO65553:CTO65567 DDK65553:DDK65567 DNG65553:DNG65567 DXC65553:DXC65567 EGY65553:EGY65567 EQU65553:EQU65567 FAQ65553:FAQ65567 FKM65553:FKM65567 FUI65553:FUI65567 GEE65553:GEE65567 GOA65553:GOA65567 GXW65553:GXW65567 HHS65553:HHS65567 HRO65553:HRO65567 IBK65553:IBK65567 ILG65553:ILG65567 IVC65553:IVC65567 JEY65553:JEY65567 JOU65553:JOU65567 JYQ65553:JYQ65567 KIM65553:KIM65567 KSI65553:KSI65567 LCE65553:LCE65567 LMA65553:LMA65567 LVW65553:LVW65567 MFS65553:MFS65567 MPO65553:MPO65567 MZK65553:MZK65567 NJG65553:NJG65567 NTC65553:NTC65567 OCY65553:OCY65567 OMU65553:OMU65567 OWQ65553:OWQ65567 PGM65553:PGM65567 PQI65553:PQI65567 QAE65553:QAE65567 QKA65553:QKA65567 QTW65553:QTW65567 RDS65553:RDS65567 RNO65553:RNO65567 RXK65553:RXK65567 SHG65553:SHG65567 SRC65553:SRC65567 TAY65553:TAY65567 TKU65553:TKU65567 TUQ65553:TUQ65567 UEM65553:UEM65567 UOI65553:UOI65567 UYE65553:UYE65567 VIA65553:VIA65567 VRW65553:VRW65567 WBS65553:WBS65567 WLO65553:WLO65567 WVK65553:WVK65567 F131089:F131103 IY131089:IY131103 SU131089:SU131103 ACQ131089:ACQ131103 AMM131089:AMM131103 AWI131089:AWI131103 BGE131089:BGE131103 BQA131089:BQA131103 BZW131089:BZW131103 CJS131089:CJS131103 CTO131089:CTO131103 DDK131089:DDK131103 DNG131089:DNG131103 DXC131089:DXC131103 EGY131089:EGY131103 EQU131089:EQU131103 FAQ131089:FAQ131103 FKM131089:FKM131103 FUI131089:FUI131103 GEE131089:GEE131103 GOA131089:GOA131103 GXW131089:GXW131103 HHS131089:HHS131103 HRO131089:HRO131103 IBK131089:IBK131103 ILG131089:ILG131103 IVC131089:IVC131103 JEY131089:JEY131103 JOU131089:JOU131103 JYQ131089:JYQ131103 KIM131089:KIM131103 KSI131089:KSI131103 LCE131089:LCE131103 LMA131089:LMA131103 LVW131089:LVW131103 MFS131089:MFS131103 MPO131089:MPO131103 MZK131089:MZK131103 NJG131089:NJG131103 NTC131089:NTC131103 OCY131089:OCY131103 OMU131089:OMU131103 OWQ131089:OWQ131103 PGM131089:PGM131103 PQI131089:PQI131103 QAE131089:QAE131103 QKA131089:QKA131103 QTW131089:QTW131103 RDS131089:RDS131103 RNO131089:RNO131103 RXK131089:RXK131103 SHG131089:SHG131103 SRC131089:SRC131103 TAY131089:TAY131103 TKU131089:TKU131103 TUQ131089:TUQ131103 UEM131089:UEM131103 UOI131089:UOI131103 UYE131089:UYE131103 VIA131089:VIA131103 VRW131089:VRW131103 WBS131089:WBS131103 WLO131089:WLO131103 WVK131089:WVK131103 F196625:F196639 IY196625:IY196639 SU196625:SU196639 ACQ196625:ACQ196639 AMM196625:AMM196639 AWI196625:AWI196639 BGE196625:BGE196639 BQA196625:BQA196639 BZW196625:BZW196639 CJS196625:CJS196639 CTO196625:CTO196639 DDK196625:DDK196639 DNG196625:DNG196639 DXC196625:DXC196639 EGY196625:EGY196639 EQU196625:EQU196639 FAQ196625:FAQ196639 FKM196625:FKM196639 FUI196625:FUI196639 GEE196625:GEE196639 GOA196625:GOA196639 GXW196625:GXW196639 HHS196625:HHS196639 HRO196625:HRO196639 IBK196625:IBK196639 ILG196625:ILG196639 IVC196625:IVC196639 JEY196625:JEY196639 JOU196625:JOU196639 JYQ196625:JYQ196639 KIM196625:KIM196639 KSI196625:KSI196639 LCE196625:LCE196639 LMA196625:LMA196639 LVW196625:LVW196639 MFS196625:MFS196639 MPO196625:MPO196639 MZK196625:MZK196639 NJG196625:NJG196639 NTC196625:NTC196639 OCY196625:OCY196639 OMU196625:OMU196639 OWQ196625:OWQ196639 PGM196625:PGM196639 PQI196625:PQI196639 QAE196625:QAE196639 QKA196625:QKA196639 QTW196625:QTW196639 RDS196625:RDS196639 RNO196625:RNO196639 RXK196625:RXK196639 SHG196625:SHG196639 SRC196625:SRC196639 TAY196625:TAY196639 TKU196625:TKU196639 TUQ196625:TUQ196639 UEM196625:UEM196639 UOI196625:UOI196639 UYE196625:UYE196639 VIA196625:VIA196639 VRW196625:VRW196639 WBS196625:WBS196639 WLO196625:WLO196639 WVK196625:WVK196639 F262161:F262175 IY262161:IY262175 SU262161:SU262175 ACQ262161:ACQ262175 AMM262161:AMM262175 AWI262161:AWI262175 BGE262161:BGE262175 BQA262161:BQA262175 BZW262161:BZW262175 CJS262161:CJS262175 CTO262161:CTO262175 DDK262161:DDK262175 DNG262161:DNG262175 DXC262161:DXC262175 EGY262161:EGY262175 EQU262161:EQU262175 FAQ262161:FAQ262175 FKM262161:FKM262175 FUI262161:FUI262175 GEE262161:GEE262175 GOA262161:GOA262175 GXW262161:GXW262175 HHS262161:HHS262175 HRO262161:HRO262175 IBK262161:IBK262175 ILG262161:ILG262175 IVC262161:IVC262175 JEY262161:JEY262175 JOU262161:JOU262175 JYQ262161:JYQ262175 KIM262161:KIM262175 KSI262161:KSI262175 LCE262161:LCE262175 LMA262161:LMA262175 LVW262161:LVW262175 MFS262161:MFS262175 MPO262161:MPO262175 MZK262161:MZK262175 NJG262161:NJG262175 NTC262161:NTC262175 OCY262161:OCY262175 OMU262161:OMU262175 OWQ262161:OWQ262175 PGM262161:PGM262175 PQI262161:PQI262175 QAE262161:QAE262175 QKA262161:QKA262175 QTW262161:QTW262175 RDS262161:RDS262175 RNO262161:RNO262175 RXK262161:RXK262175 SHG262161:SHG262175 SRC262161:SRC262175 TAY262161:TAY262175 TKU262161:TKU262175 TUQ262161:TUQ262175 UEM262161:UEM262175 UOI262161:UOI262175 UYE262161:UYE262175 VIA262161:VIA262175 VRW262161:VRW262175 WBS262161:WBS262175 WLO262161:WLO262175 WVK262161:WVK262175 F327697:F327711 IY327697:IY327711 SU327697:SU327711 ACQ327697:ACQ327711 AMM327697:AMM327711 AWI327697:AWI327711 BGE327697:BGE327711 BQA327697:BQA327711 BZW327697:BZW327711 CJS327697:CJS327711 CTO327697:CTO327711 DDK327697:DDK327711 DNG327697:DNG327711 DXC327697:DXC327711 EGY327697:EGY327711 EQU327697:EQU327711 FAQ327697:FAQ327711 FKM327697:FKM327711 FUI327697:FUI327711 GEE327697:GEE327711 GOA327697:GOA327711 GXW327697:GXW327711 HHS327697:HHS327711 HRO327697:HRO327711 IBK327697:IBK327711 ILG327697:ILG327711 IVC327697:IVC327711 JEY327697:JEY327711 JOU327697:JOU327711 JYQ327697:JYQ327711 KIM327697:KIM327711 KSI327697:KSI327711 LCE327697:LCE327711 LMA327697:LMA327711 LVW327697:LVW327711 MFS327697:MFS327711 MPO327697:MPO327711 MZK327697:MZK327711 NJG327697:NJG327711 NTC327697:NTC327711 OCY327697:OCY327711 OMU327697:OMU327711 OWQ327697:OWQ327711 PGM327697:PGM327711 PQI327697:PQI327711 QAE327697:QAE327711 QKA327697:QKA327711 QTW327697:QTW327711 RDS327697:RDS327711 RNO327697:RNO327711 RXK327697:RXK327711 SHG327697:SHG327711 SRC327697:SRC327711 TAY327697:TAY327711 TKU327697:TKU327711 TUQ327697:TUQ327711 UEM327697:UEM327711 UOI327697:UOI327711 UYE327697:UYE327711 VIA327697:VIA327711 VRW327697:VRW327711 WBS327697:WBS327711 WLO327697:WLO327711 WVK327697:WVK327711 F393233:F393247 IY393233:IY393247 SU393233:SU393247 ACQ393233:ACQ393247 AMM393233:AMM393247 AWI393233:AWI393247 BGE393233:BGE393247 BQA393233:BQA393247 BZW393233:BZW393247 CJS393233:CJS393247 CTO393233:CTO393247 DDK393233:DDK393247 DNG393233:DNG393247 DXC393233:DXC393247 EGY393233:EGY393247 EQU393233:EQU393247 FAQ393233:FAQ393247 FKM393233:FKM393247 FUI393233:FUI393247 GEE393233:GEE393247 GOA393233:GOA393247 GXW393233:GXW393247 HHS393233:HHS393247 HRO393233:HRO393247 IBK393233:IBK393247 ILG393233:ILG393247 IVC393233:IVC393247 JEY393233:JEY393247 JOU393233:JOU393247 JYQ393233:JYQ393247 KIM393233:KIM393247 KSI393233:KSI393247 LCE393233:LCE393247 LMA393233:LMA393247 LVW393233:LVW393247 MFS393233:MFS393247 MPO393233:MPO393247 MZK393233:MZK393247 NJG393233:NJG393247 NTC393233:NTC393247 OCY393233:OCY393247 OMU393233:OMU393247 OWQ393233:OWQ393247 PGM393233:PGM393247 PQI393233:PQI393247 QAE393233:QAE393247 QKA393233:QKA393247 QTW393233:QTW393247 RDS393233:RDS393247 RNO393233:RNO393247 RXK393233:RXK393247 SHG393233:SHG393247 SRC393233:SRC393247 TAY393233:TAY393247 TKU393233:TKU393247 TUQ393233:TUQ393247 UEM393233:UEM393247 UOI393233:UOI393247 UYE393233:UYE393247 VIA393233:VIA393247 VRW393233:VRW393247 WBS393233:WBS393247 WLO393233:WLO393247 WVK393233:WVK393247 F458769:F458783 IY458769:IY458783 SU458769:SU458783 ACQ458769:ACQ458783 AMM458769:AMM458783 AWI458769:AWI458783 BGE458769:BGE458783 BQA458769:BQA458783 BZW458769:BZW458783 CJS458769:CJS458783 CTO458769:CTO458783 DDK458769:DDK458783 DNG458769:DNG458783 DXC458769:DXC458783 EGY458769:EGY458783 EQU458769:EQU458783 FAQ458769:FAQ458783 FKM458769:FKM458783 FUI458769:FUI458783 GEE458769:GEE458783 GOA458769:GOA458783 GXW458769:GXW458783 HHS458769:HHS458783 HRO458769:HRO458783 IBK458769:IBK458783 ILG458769:ILG458783 IVC458769:IVC458783 JEY458769:JEY458783 JOU458769:JOU458783 JYQ458769:JYQ458783 KIM458769:KIM458783 KSI458769:KSI458783 LCE458769:LCE458783 LMA458769:LMA458783 LVW458769:LVW458783 MFS458769:MFS458783 MPO458769:MPO458783 MZK458769:MZK458783 NJG458769:NJG458783 NTC458769:NTC458783 OCY458769:OCY458783 OMU458769:OMU458783 OWQ458769:OWQ458783 PGM458769:PGM458783 PQI458769:PQI458783 QAE458769:QAE458783 QKA458769:QKA458783 QTW458769:QTW458783 RDS458769:RDS458783 RNO458769:RNO458783 RXK458769:RXK458783 SHG458769:SHG458783 SRC458769:SRC458783 TAY458769:TAY458783 TKU458769:TKU458783 TUQ458769:TUQ458783 UEM458769:UEM458783 UOI458769:UOI458783 UYE458769:UYE458783 VIA458769:VIA458783 VRW458769:VRW458783 WBS458769:WBS458783 WLO458769:WLO458783 WVK458769:WVK458783 F524305:F524319 IY524305:IY524319 SU524305:SU524319 ACQ524305:ACQ524319 AMM524305:AMM524319 AWI524305:AWI524319 BGE524305:BGE524319 BQA524305:BQA524319 BZW524305:BZW524319 CJS524305:CJS524319 CTO524305:CTO524319 DDK524305:DDK524319 DNG524305:DNG524319 DXC524305:DXC524319 EGY524305:EGY524319 EQU524305:EQU524319 FAQ524305:FAQ524319 FKM524305:FKM524319 FUI524305:FUI524319 GEE524305:GEE524319 GOA524305:GOA524319 GXW524305:GXW524319 HHS524305:HHS524319 HRO524305:HRO524319 IBK524305:IBK524319 ILG524305:ILG524319 IVC524305:IVC524319 JEY524305:JEY524319 JOU524305:JOU524319 JYQ524305:JYQ524319 KIM524305:KIM524319 KSI524305:KSI524319 LCE524305:LCE524319 LMA524305:LMA524319 LVW524305:LVW524319 MFS524305:MFS524319 MPO524305:MPO524319 MZK524305:MZK524319 NJG524305:NJG524319 NTC524305:NTC524319 OCY524305:OCY524319 OMU524305:OMU524319 OWQ524305:OWQ524319 PGM524305:PGM524319 PQI524305:PQI524319 QAE524305:QAE524319 QKA524305:QKA524319 QTW524305:QTW524319 RDS524305:RDS524319 RNO524305:RNO524319 RXK524305:RXK524319 SHG524305:SHG524319 SRC524305:SRC524319 TAY524305:TAY524319 TKU524305:TKU524319 TUQ524305:TUQ524319 UEM524305:UEM524319 UOI524305:UOI524319 UYE524305:UYE524319 VIA524305:VIA524319 VRW524305:VRW524319 WBS524305:WBS524319 WLO524305:WLO524319 WVK524305:WVK524319 F589841:F589855 IY589841:IY589855 SU589841:SU589855 ACQ589841:ACQ589855 AMM589841:AMM589855 AWI589841:AWI589855 BGE589841:BGE589855 BQA589841:BQA589855 BZW589841:BZW589855 CJS589841:CJS589855 CTO589841:CTO589855 DDK589841:DDK589855 DNG589841:DNG589855 DXC589841:DXC589855 EGY589841:EGY589855 EQU589841:EQU589855 FAQ589841:FAQ589855 FKM589841:FKM589855 FUI589841:FUI589855 GEE589841:GEE589855 GOA589841:GOA589855 GXW589841:GXW589855 HHS589841:HHS589855 HRO589841:HRO589855 IBK589841:IBK589855 ILG589841:ILG589855 IVC589841:IVC589855 JEY589841:JEY589855 JOU589841:JOU589855 JYQ589841:JYQ589855 KIM589841:KIM589855 KSI589841:KSI589855 LCE589841:LCE589855 LMA589841:LMA589855 LVW589841:LVW589855 MFS589841:MFS589855 MPO589841:MPO589855 MZK589841:MZK589855 NJG589841:NJG589855 NTC589841:NTC589855 OCY589841:OCY589855 OMU589841:OMU589855 OWQ589841:OWQ589855 PGM589841:PGM589855 PQI589841:PQI589855 QAE589841:QAE589855 QKA589841:QKA589855 QTW589841:QTW589855 RDS589841:RDS589855 RNO589841:RNO589855 RXK589841:RXK589855 SHG589841:SHG589855 SRC589841:SRC589855 TAY589841:TAY589855 TKU589841:TKU589855 TUQ589841:TUQ589855 UEM589841:UEM589855 UOI589841:UOI589855 UYE589841:UYE589855 VIA589841:VIA589855 VRW589841:VRW589855 WBS589841:WBS589855 WLO589841:WLO589855 WVK589841:WVK589855 F655377:F655391 IY655377:IY655391 SU655377:SU655391 ACQ655377:ACQ655391 AMM655377:AMM655391 AWI655377:AWI655391 BGE655377:BGE655391 BQA655377:BQA655391 BZW655377:BZW655391 CJS655377:CJS655391 CTO655377:CTO655391 DDK655377:DDK655391 DNG655377:DNG655391 DXC655377:DXC655391 EGY655377:EGY655391 EQU655377:EQU655391 FAQ655377:FAQ655391 FKM655377:FKM655391 FUI655377:FUI655391 GEE655377:GEE655391 GOA655377:GOA655391 GXW655377:GXW655391 HHS655377:HHS655391 HRO655377:HRO655391 IBK655377:IBK655391 ILG655377:ILG655391 IVC655377:IVC655391 JEY655377:JEY655391 JOU655377:JOU655391 JYQ655377:JYQ655391 KIM655377:KIM655391 KSI655377:KSI655391 LCE655377:LCE655391 LMA655377:LMA655391 LVW655377:LVW655391 MFS655377:MFS655391 MPO655377:MPO655391 MZK655377:MZK655391 NJG655377:NJG655391 NTC655377:NTC655391 OCY655377:OCY655391 OMU655377:OMU655391 OWQ655377:OWQ655391 PGM655377:PGM655391 PQI655377:PQI655391 QAE655377:QAE655391 QKA655377:QKA655391 QTW655377:QTW655391 RDS655377:RDS655391 RNO655377:RNO655391 RXK655377:RXK655391 SHG655377:SHG655391 SRC655377:SRC655391 TAY655377:TAY655391 TKU655377:TKU655391 TUQ655377:TUQ655391 UEM655377:UEM655391 UOI655377:UOI655391 UYE655377:UYE655391 VIA655377:VIA655391 VRW655377:VRW655391 WBS655377:WBS655391 WLO655377:WLO655391 WVK655377:WVK655391 F720913:F720927 IY720913:IY720927 SU720913:SU720927 ACQ720913:ACQ720927 AMM720913:AMM720927 AWI720913:AWI720927 BGE720913:BGE720927 BQA720913:BQA720927 BZW720913:BZW720927 CJS720913:CJS720927 CTO720913:CTO720927 DDK720913:DDK720927 DNG720913:DNG720927 DXC720913:DXC720927 EGY720913:EGY720927 EQU720913:EQU720927 FAQ720913:FAQ720927 FKM720913:FKM720927 FUI720913:FUI720927 GEE720913:GEE720927 GOA720913:GOA720927 GXW720913:GXW720927 HHS720913:HHS720927 HRO720913:HRO720927 IBK720913:IBK720927 ILG720913:ILG720927 IVC720913:IVC720927 JEY720913:JEY720927 JOU720913:JOU720927 JYQ720913:JYQ720927 KIM720913:KIM720927 KSI720913:KSI720927 LCE720913:LCE720927 LMA720913:LMA720927 LVW720913:LVW720927 MFS720913:MFS720927 MPO720913:MPO720927 MZK720913:MZK720927 NJG720913:NJG720927 NTC720913:NTC720927 OCY720913:OCY720927 OMU720913:OMU720927 OWQ720913:OWQ720927 PGM720913:PGM720927 PQI720913:PQI720927 QAE720913:QAE720927 QKA720913:QKA720927 QTW720913:QTW720927 RDS720913:RDS720927 RNO720913:RNO720927 RXK720913:RXK720927 SHG720913:SHG720927 SRC720913:SRC720927 TAY720913:TAY720927 TKU720913:TKU720927 TUQ720913:TUQ720927 UEM720913:UEM720927 UOI720913:UOI720927 UYE720913:UYE720927 VIA720913:VIA720927 VRW720913:VRW720927 WBS720913:WBS720927 WLO720913:WLO720927 WVK720913:WVK720927 F786449:F786463 IY786449:IY786463 SU786449:SU786463 ACQ786449:ACQ786463 AMM786449:AMM786463 AWI786449:AWI786463 BGE786449:BGE786463 BQA786449:BQA786463 BZW786449:BZW786463 CJS786449:CJS786463 CTO786449:CTO786463 DDK786449:DDK786463 DNG786449:DNG786463 DXC786449:DXC786463 EGY786449:EGY786463 EQU786449:EQU786463 FAQ786449:FAQ786463 FKM786449:FKM786463 FUI786449:FUI786463 GEE786449:GEE786463 GOA786449:GOA786463 GXW786449:GXW786463 HHS786449:HHS786463 HRO786449:HRO786463 IBK786449:IBK786463 ILG786449:ILG786463 IVC786449:IVC786463 JEY786449:JEY786463 JOU786449:JOU786463 JYQ786449:JYQ786463 KIM786449:KIM786463 KSI786449:KSI786463 LCE786449:LCE786463 LMA786449:LMA786463 LVW786449:LVW786463 MFS786449:MFS786463 MPO786449:MPO786463 MZK786449:MZK786463 NJG786449:NJG786463 NTC786449:NTC786463 OCY786449:OCY786463 OMU786449:OMU786463 OWQ786449:OWQ786463 PGM786449:PGM786463 PQI786449:PQI786463 QAE786449:QAE786463 QKA786449:QKA786463 QTW786449:QTW786463 RDS786449:RDS786463 RNO786449:RNO786463 RXK786449:RXK786463 SHG786449:SHG786463 SRC786449:SRC786463 TAY786449:TAY786463 TKU786449:TKU786463 TUQ786449:TUQ786463 UEM786449:UEM786463 UOI786449:UOI786463 UYE786449:UYE786463 VIA786449:VIA786463 VRW786449:VRW786463 WBS786449:WBS786463 WLO786449:WLO786463 WVK786449:WVK786463 F851985:F851999 IY851985:IY851999 SU851985:SU851999 ACQ851985:ACQ851999 AMM851985:AMM851999 AWI851985:AWI851999 BGE851985:BGE851999 BQA851985:BQA851999 BZW851985:BZW851999 CJS851985:CJS851999 CTO851985:CTO851999 DDK851985:DDK851999 DNG851985:DNG851999 DXC851985:DXC851999 EGY851985:EGY851999 EQU851985:EQU851999 FAQ851985:FAQ851999 FKM851985:FKM851999 FUI851985:FUI851999 GEE851985:GEE851999 GOA851985:GOA851999 GXW851985:GXW851999 HHS851985:HHS851999 HRO851985:HRO851999 IBK851985:IBK851999 ILG851985:ILG851999 IVC851985:IVC851999 JEY851985:JEY851999 JOU851985:JOU851999 JYQ851985:JYQ851999 KIM851985:KIM851999 KSI851985:KSI851999 LCE851985:LCE851999 LMA851985:LMA851999 LVW851985:LVW851999 MFS851985:MFS851999 MPO851985:MPO851999 MZK851985:MZK851999 NJG851985:NJG851999 NTC851985:NTC851999 OCY851985:OCY851999 OMU851985:OMU851999 OWQ851985:OWQ851999 PGM851985:PGM851999 PQI851985:PQI851999 QAE851985:QAE851999 QKA851985:QKA851999 QTW851985:QTW851999 RDS851985:RDS851999 RNO851985:RNO851999 RXK851985:RXK851999 SHG851985:SHG851999 SRC851985:SRC851999 TAY851985:TAY851999 TKU851985:TKU851999 TUQ851985:TUQ851999 UEM851985:UEM851999 UOI851985:UOI851999 UYE851985:UYE851999 VIA851985:VIA851999 VRW851985:VRW851999 WBS851985:WBS851999 WLO851985:WLO851999 WVK851985:WVK851999 F917521:F917535 IY917521:IY917535 SU917521:SU917535 ACQ917521:ACQ917535 AMM917521:AMM917535 AWI917521:AWI917535 BGE917521:BGE917535 BQA917521:BQA917535 BZW917521:BZW917535 CJS917521:CJS917535 CTO917521:CTO917535 DDK917521:DDK917535 DNG917521:DNG917535 DXC917521:DXC917535 EGY917521:EGY917535 EQU917521:EQU917535 FAQ917521:FAQ917535 FKM917521:FKM917535 FUI917521:FUI917535 GEE917521:GEE917535 GOA917521:GOA917535 GXW917521:GXW917535 HHS917521:HHS917535 HRO917521:HRO917535 IBK917521:IBK917535 ILG917521:ILG917535 IVC917521:IVC917535 JEY917521:JEY917535 JOU917521:JOU917535 JYQ917521:JYQ917535 KIM917521:KIM917535 KSI917521:KSI917535 LCE917521:LCE917535 LMA917521:LMA917535 LVW917521:LVW917535 MFS917521:MFS917535 MPO917521:MPO917535 MZK917521:MZK917535 NJG917521:NJG917535 NTC917521:NTC917535 OCY917521:OCY917535 OMU917521:OMU917535 OWQ917521:OWQ917535 PGM917521:PGM917535 PQI917521:PQI917535 QAE917521:QAE917535 QKA917521:QKA917535 QTW917521:QTW917535 RDS917521:RDS917535 RNO917521:RNO917535 RXK917521:RXK917535 SHG917521:SHG917535 SRC917521:SRC917535 TAY917521:TAY917535 TKU917521:TKU917535 TUQ917521:TUQ917535 UEM917521:UEM917535 UOI917521:UOI917535 UYE917521:UYE917535 VIA917521:VIA917535 VRW917521:VRW917535 WBS917521:WBS917535 WLO917521:WLO917535 WVK917521:WVK917535 F983057:F983071 IY983057:IY983071 SU983057:SU983071 ACQ983057:ACQ983071 AMM983057:AMM983071 AWI983057:AWI983071 BGE983057:BGE983071 BQA983057:BQA983071 BZW983057:BZW983071 CJS983057:CJS983071 CTO983057:CTO983071 DDK983057:DDK983071 DNG983057:DNG983071 DXC983057:DXC983071 EGY983057:EGY983071 EQU983057:EQU983071 FAQ983057:FAQ983071 FKM983057:FKM983071 FUI983057:FUI983071 GEE983057:GEE983071 GOA983057:GOA983071 GXW983057:GXW983071 HHS983057:HHS983071 HRO983057:HRO983071 IBK983057:IBK983071 ILG983057:ILG983071 IVC983057:IVC983071 JEY983057:JEY983071 JOU983057:JOU983071 JYQ983057:JYQ983071 KIM983057:KIM983071 KSI983057:KSI983071 LCE983057:LCE983071 LMA983057:LMA983071 LVW983057:LVW983071 MFS983057:MFS983071 MPO983057:MPO983071 MZK983057:MZK983071 NJG983057:NJG983071 NTC983057:NTC983071 OCY983057:OCY983071 OMU983057:OMU983071 OWQ983057:OWQ983071 PGM983057:PGM983071 PQI983057:PQI983071 QAE983057:QAE983071 QKA983057:QKA983071 QTW983057:QTW983071 RDS983057:RDS983071 RNO983057:RNO983071 RXK983057:RXK983071 SHG983057:SHG983071 SRC983057:SRC983071 TAY983057:TAY983071 TKU983057:TKU983071 TUQ983057:TUQ983071 UEM983057:UEM983071 UOI983057:UOI983071 UYE983057:UYE983071 VIA983057:VIA983071 VRW983057:VRW983071 WBS983057:WBS983071 WLO983057:WLO983071 IY17:IY33" xr:uid="{00000000-0002-0000-0D00-000003000000}">
      <formula1>$N$3:$N$5</formula1>
    </dataValidation>
  </dataValidations>
  <printOptions horizontalCentered="1"/>
  <pageMargins left="0.75" right="0.75" top="1" bottom="1" header="0.5" footer="0.5"/>
  <pageSetup scale="81" orientation="portrait" r:id="rId1"/>
  <headerFooter alignWithMargins="0"/>
  <ignoredErrors>
    <ignoredError sqref="H17:H3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75466" r:id="rId4" name="chkDF">
              <controlPr locked="0" defaultSize="0" print="0" autoFill="0" autoLine="0" autoPict="0">
                <anchor moveWithCells="1">
                  <from>
                    <xdr:col>4</xdr:col>
                    <xdr:colOff>123825</xdr:colOff>
                    <xdr:row>37</xdr:row>
                    <xdr:rowOff>85725</xdr:rowOff>
                  </from>
                  <to>
                    <xdr:col>4</xdr:col>
                    <xdr:colOff>276225</xdr:colOff>
                    <xdr:row>37</xdr:row>
                    <xdr:rowOff>190500</xdr:rowOff>
                  </to>
                </anchor>
              </controlPr>
            </control>
          </mc:Choice>
        </mc:AlternateContent>
        <mc:AlternateContent xmlns:mc="http://schemas.openxmlformats.org/markup-compatibility/2006">
          <mc:Choice Requires="x14">
            <control shapeId="275468" r:id="rId5" name="btnUncReturn">
              <controlPr defaultSize="0" print="0" autoFill="0" autoPict="0" macro="[0]!Budget.btnUncReturn_click">
                <anchor>
                  <from>
                    <xdr:col>0</xdr:col>
                    <xdr:colOff>104775</xdr:colOff>
                    <xdr:row>0</xdr:row>
                    <xdr:rowOff>66675</xdr:rowOff>
                  </from>
                  <to>
                    <xdr:col>0</xdr:col>
                    <xdr:colOff>1019175</xdr:colOff>
                    <xdr:row>1</xdr:row>
                    <xdr:rowOff>142875</xdr:rowOff>
                  </to>
                </anchor>
              </controlPr>
            </control>
          </mc:Choice>
        </mc:AlternateContent>
        <mc:AlternateContent xmlns:mc="http://schemas.openxmlformats.org/markup-compatibility/2006">
          <mc:Choice Requires="x14">
            <control shapeId="275469" r:id="rId6" name="btnCopyBudget">
              <controlPr defaultSize="0" print="0" autoFill="0" autoPict="0" macro="[0]!Budget.btnCopyBudget_click">
                <anchor>
                  <from>
                    <xdr:col>0</xdr:col>
                    <xdr:colOff>104775</xdr:colOff>
                    <xdr:row>1</xdr:row>
                    <xdr:rowOff>152400</xdr:rowOff>
                  </from>
                  <to>
                    <xdr:col>0</xdr:col>
                    <xdr:colOff>1019175</xdr:colOff>
                    <xdr:row>2</xdr:row>
                    <xdr:rowOff>152400</xdr:rowOff>
                  </to>
                </anchor>
              </controlPr>
            </control>
          </mc:Choice>
        </mc:AlternateContent>
        <mc:AlternateContent xmlns:mc="http://schemas.openxmlformats.org/markup-compatibility/2006">
          <mc:Choice Requires="x14">
            <control shapeId="275471" r:id="rId7" name="btnCALTol">
              <controlPr defaultSize="0" print="0" autoFill="0" autoPict="0" macro="[0]!Budget.btnCALTol_Click">
                <anchor>
                  <from>
                    <xdr:col>0</xdr:col>
                    <xdr:colOff>104775</xdr:colOff>
                    <xdr:row>2</xdr:row>
                    <xdr:rowOff>161925</xdr:rowOff>
                  </from>
                  <to>
                    <xdr:col>0</xdr:col>
                    <xdr:colOff>1019175</xdr:colOff>
                    <xdr:row>5</xdr:row>
                    <xdr:rowOff>9525</xdr:rowOff>
                  </to>
                </anchor>
              </controlPr>
            </control>
          </mc:Choice>
        </mc:AlternateContent>
        <mc:AlternateContent xmlns:mc="http://schemas.openxmlformats.org/markup-compatibility/2006">
          <mc:Choice Requires="x14">
            <control shapeId="275472" r:id="rId8" name="btnUpdate">
              <controlPr defaultSize="0" print="0" autoFill="0" autoPict="0" macro="[0]!GetMeasRes">
                <anchor>
                  <from>
                    <xdr:col>0</xdr:col>
                    <xdr:colOff>104775</xdr:colOff>
                    <xdr:row>5</xdr:row>
                    <xdr:rowOff>28575</xdr:rowOff>
                  </from>
                  <to>
                    <xdr:col>0</xdr:col>
                    <xdr:colOff>1019175</xdr:colOff>
                    <xdr:row>7</xdr:row>
                    <xdr:rowOff>66675</xdr:rowOff>
                  </to>
                </anchor>
              </controlPr>
            </control>
          </mc:Choice>
        </mc:AlternateContent>
        <mc:AlternateContent xmlns:mc="http://schemas.openxmlformats.org/markup-compatibility/2006">
          <mc:Choice Requires="x14">
            <control shapeId="275473" r:id="rId9" name="btnClear">
              <controlPr defaultSize="0" print="0" autoFill="0" autoPict="0" macro="[0]!Budget.btnClear_Click">
                <anchor>
                  <from>
                    <xdr:col>0</xdr:col>
                    <xdr:colOff>104775</xdr:colOff>
                    <xdr:row>7</xdr:row>
                    <xdr:rowOff>85725</xdr:rowOff>
                  </from>
                  <to>
                    <xdr:col>0</xdr:col>
                    <xdr:colOff>1019175</xdr:colOff>
                    <xdr:row>9</xdr:row>
                    <xdr:rowOff>123825</xdr:rowOff>
                  </to>
                </anchor>
              </controlPr>
            </control>
          </mc:Choice>
        </mc:AlternateContent>
        <mc:AlternateContent xmlns:mc="http://schemas.openxmlformats.org/markup-compatibility/2006">
          <mc:Choice Requires="x14">
            <control shapeId="275474" r:id="rId10" name="btnCancel">
              <controlPr defaultSize="0" print="0" autoFill="0" autoPict="0" macro="[0]!Budget.btnCancel_click">
                <anchor>
                  <from>
                    <xdr:col>0</xdr:col>
                    <xdr:colOff>104775</xdr:colOff>
                    <xdr:row>9</xdr:row>
                    <xdr:rowOff>142875</xdr:rowOff>
                  </from>
                  <to>
                    <xdr:col>0</xdr:col>
                    <xdr:colOff>1019175</xdr:colOff>
                    <xdr:row>12</xdr:row>
                    <xdr:rowOff>28575</xdr:rowOff>
                  </to>
                </anchor>
              </controlPr>
            </control>
          </mc:Choice>
        </mc:AlternateContent>
        <mc:AlternateContent xmlns:mc="http://schemas.openxmlformats.org/markup-compatibility/2006">
          <mc:Choice Requires="x14">
            <control shapeId="275475" r:id="rId11" name="btnBudget">
              <controlPr defaultSize="0" print="0" autoFill="0" autoPict="0" macro="[0]!Budget.btnBudget_Click">
                <anchor>
                  <from>
                    <xdr:col>0</xdr:col>
                    <xdr:colOff>104775</xdr:colOff>
                    <xdr:row>16</xdr:row>
                    <xdr:rowOff>85725</xdr:rowOff>
                  </from>
                  <to>
                    <xdr:col>0</xdr:col>
                    <xdr:colOff>1019175</xdr:colOff>
                    <xdr:row>18</xdr:row>
                    <xdr:rowOff>142875</xdr:rowOff>
                  </to>
                </anchor>
              </controlPr>
            </control>
          </mc:Choice>
        </mc:AlternateContent>
        <mc:AlternateContent xmlns:mc="http://schemas.openxmlformats.org/markup-compatibility/2006">
          <mc:Choice Requires="x14">
            <control shapeId="275476" r:id="rId12" name="btnRep">
              <controlPr defaultSize="0" print="0" autoFill="0" autoPict="0" macro="[0]!Budget.btnRep_Click">
                <anchor>
                  <from>
                    <xdr:col>0</xdr:col>
                    <xdr:colOff>104775</xdr:colOff>
                    <xdr:row>18</xdr:row>
                    <xdr:rowOff>152400</xdr:rowOff>
                  </from>
                  <to>
                    <xdr:col>0</xdr:col>
                    <xdr:colOff>1019175</xdr:colOff>
                    <xdr:row>21</xdr:row>
                    <xdr:rowOff>28575</xdr:rowOff>
                  </to>
                </anchor>
              </controlPr>
            </control>
          </mc:Choice>
        </mc:AlternateContent>
        <mc:AlternateContent xmlns:mc="http://schemas.openxmlformats.org/markup-compatibility/2006">
          <mc:Choice Requires="x14">
            <control shapeId="275477" r:id="rId13" name="btnTolLimit">
              <controlPr defaultSize="0" print="0" autoFill="0" autoPict="0" macro="[0]!Budget.btnTolLimit_Click">
                <anchor>
                  <from>
                    <xdr:col>0</xdr:col>
                    <xdr:colOff>104775</xdr:colOff>
                    <xdr:row>21</xdr:row>
                    <xdr:rowOff>38100</xdr:rowOff>
                  </from>
                  <to>
                    <xdr:col>0</xdr:col>
                    <xdr:colOff>1019175</xdr:colOff>
                    <xdr:row>23</xdr:row>
                    <xdr:rowOff>85725</xdr:rowOff>
                  </to>
                </anchor>
              </controlPr>
            </control>
          </mc:Choice>
        </mc:AlternateContent>
        <mc:AlternateContent xmlns:mc="http://schemas.openxmlformats.org/markup-compatibility/2006">
          <mc:Choice Requires="x14">
            <control shapeId="275478" r:id="rId14" name="btnChart">
              <controlPr defaultSize="0" print="0" autoFill="0" autoPict="0" macro="[0]!Budget.btnChart_Click">
                <anchor>
                  <from>
                    <xdr:col>0</xdr:col>
                    <xdr:colOff>104775</xdr:colOff>
                    <xdr:row>23</xdr:row>
                    <xdr:rowOff>85725</xdr:rowOff>
                  </from>
                  <to>
                    <xdr:col>0</xdr:col>
                    <xdr:colOff>1019175</xdr:colOff>
                    <xdr:row>25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26</vt:i4>
      </vt:variant>
    </vt:vector>
  </HeadingPairs>
  <TitlesOfParts>
    <vt:vector size="40" baseType="lpstr">
      <vt:lpstr>Analysis Info</vt:lpstr>
      <vt:lpstr>Notes</vt:lpstr>
      <vt:lpstr>Document</vt:lpstr>
      <vt:lpstr>EqTolerance</vt:lpstr>
      <vt:lpstr>TolToolData</vt:lpstr>
      <vt:lpstr>EqBudget</vt:lpstr>
      <vt:lpstr>VarCorrelation</vt:lpstr>
      <vt:lpstr>Repeatability</vt:lpstr>
      <vt:lpstr>Tolerances</vt:lpstr>
      <vt:lpstr>Risk Report</vt:lpstr>
      <vt:lpstr>Risk With Assumed REOP</vt:lpstr>
      <vt:lpstr>Risk With Measured REOP</vt:lpstr>
      <vt:lpstr>TolLimit</vt:lpstr>
      <vt:lpstr>Budget</vt:lpstr>
      <vt:lpstr>EqBudget!Delta</vt:lpstr>
      <vt:lpstr>EqTolerance!Delta</vt:lpstr>
      <vt:lpstr>EqBudget!Eq</vt:lpstr>
      <vt:lpstr>EqTolerance!Eq</vt:lpstr>
      <vt:lpstr>Budget!ErrorDist</vt:lpstr>
      <vt:lpstr>EqTolerance!ErrorDist</vt:lpstr>
      <vt:lpstr>Tolerances!FloorUnits</vt:lpstr>
      <vt:lpstr>TolLimit!FloorUnits</vt:lpstr>
      <vt:lpstr>Budget!Print_Area</vt:lpstr>
      <vt:lpstr>EqBudget!Print_Area</vt:lpstr>
      <vt:lpstr>EqTolerance!Print_Area</vt:lpstr>
      <vt:lpstr>Repeatability!Print_Area</vt:lpstr>
      <vt:lpstr>'Risk Report'!Print_Area</vt:lpstr>
      <vt:lpstr>'Risk With Assumed REOP'!Print_Area</vt:lpstr>
      <vt:lpstr>'Risk With Measured REOP'!Print_Area</vt:lpstr>
      <vt:lpstr>Tolerances!Print_Area</vt:lpstr>
      <vt:lpstr>TolLimit!Print_Area</vt:lpstr>
      <vt:lpstr>VarCorrelation!Print_Area</vt:lpstr>
      <vt:lpstr>Tolerances!SpecDivider</vt:lpstr>
      <vt:lpstr>TolLimit!SpecDivider</vt:lpstr>
      <vt:lpstr>Tolerances!SpecUnits</vt:lpstr>
      <vt:lpstr>TolLimit!SpecUnits</vt:lpstr>
      <vt:lpstr>Notes!UncLookup</vt:lpstr>
      <vt:lpstr>UncLookup</vt:lpstr>
      <vt:lpstr>Budget!UncMult</vt:lpstr>
      <vt:lpstr>Budget!UncType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Barry Baker</cp:lastModifiedBy>
  <cp:lastPrinted>2018-11-16T22:04:42Z</cp:lastPrinted>
  <dcterms:created xsi:type="dcterms:W3CDTF">1996-10-14T23:33:28Z</dcterms:created>
  <dcterms:modified xsi:type="dcterms:W3CDTF">2025-08-09T18:06:53Z</dcterms:modified>
</cp:coreProperties>
</file>